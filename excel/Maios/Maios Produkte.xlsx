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os\"/>
    </mc:Choice>
  </mc:AlternateContent>
  <xr:revisionPtr revIDLastSave="0" documentId="13_ncr:1_{547222C0-B1A4-48EF-B80A-86A830F8F5A8}" xr6:coauthVersionLast="47" xr6:coauthVersionMax="47" xr10:uidLastSave="{00000000-0000-0000-0000-000000000000}"/>
  <bookViews>
    <workbookView xWindow="-110" yWindow="-110" windowWidth="19420" windowHeight="10300" xr2:uid="{9964D660-9E40-4F53-9A2D-6FF4C07C900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F2" i="1"/>
  <c r="J2" i="1"/>
  <c r="K2" i="1"/>
  <c r="E3" i="1"/>
  <c r="F3" i="1"/>
  <c r="J3" i="1"/>
  <c r="K3" i="1"/>
  <c r="E4" i="1"/>
  <c r="F4" i="1"/>
  <c r="J4" i="1"/>
  <c r="K4" i="1"/>
  <c r="E5" i="1"/>
  <c r="F5" i="1"/>
  <c r="J5" i="1"/>
  <c r="K5" i="1"/>
  <c r="E6" i="1"/>
  <c r="F6" i="1"/>
  <c r="J6" i="1"/>
  <c r="K6" i="1"/>
  <c r="E7" i="1"/>
  <c r="F7" i="1"/>
  <c r="J7" i="1"/>
  <c r="K7" i="1"/>
  <c r="E8" i="1"/>
  <c r="F8" i="1"/>
  <c r="J8" i="1"/>
  <c r="K8" i="1"/>
  <c r="E9" i="1"/>
  <c r="F9" i="1"/>
  <c r="J9" i="1"/>
  <c r="K9" i="1"/>
  <c r="E10" i="1"/>
  <c r="F10" i="1"/>
  <c r="J10" i="1"/>
  <c r="K10" i="1"/>
  <c r="E11" i="1"/>
  <c r="F11" i="1"/>
  <c r="J11" i="1"/>
  <c r="K11" i="1"/>
  <c r="E12" i="1"/>
  <c r="F12" i="1"/>
  <c r="J12" i="1"/>
  <c r="K12" i="1"/>
  <c r="E13" i="1"/>
  <c r="F13" i="1"/>
  <c r="J13" i="1"/>
  <c r="K13" i="1"/>
  <c r="E14" i="1"/>
  <c r="F14" i="1"/>
  <c r="J14" i="1"/>
  <c r="K14" i="1"/>
  <c r="E15" i="1"/>
  <c r="F15" i="1"/>
  <c r="J15" i="1"/>
  <c r="K15" i="1"/>
  <c r="E16" i="1"/>
  <c r="F16" i="1"/>
  <c r="J16" i="1"/>
  <c r="K16" i="1"/>
  <c r="E17" i="1"/>
  <c r="F17" i="1"/>
  <c r="J17" i="1"/>
  <c r="K17" i="1"/>
  <c r="E18" i="1"/>
  <c r="F18" i="1"/>
  <c r="J18" i="1"/>
  <c r="K18" i="1"/>
  <c r="E19" i="1"/>
  <c r="F19" i="1"/>
  <c r="J19" i="1"/>
  <c r="K19" i="1"/>
  <c r="E20" i="1"/>
  <c r="F20" i="1"/>
  <c r="J20" i="1"/>
  <c r="K20" i="1"/>
  <c r="E21" i="1"/>
  <c r="F21" i="1"/>
  <c r="J21" i="1"/>
  <c r="K21" i="1"/>
  <c r="E35" i="1"/>
  <c r="F35" i="1"/>
  <c r="E50" i="1"/>
  <c r="F50" i="1"/>
  <c r="J50" i="1"/>
  <c r="K50" i="1"/>
  <c r="E49" i="1"/>
  <c r="F49" i="1"/>
  <c r="J49" i="1"/>
  <c r="K49" i="1"/>
  <c r="E48" i="1"/>
  <c r="F48" i="1" s="1"/>
  <c r="J48" i="1"/>
  <c r="K48" i="1"/>
  <c r="E22" i="1"/>
  <c r="F22" i="1" s="1"/>
  <c r="J22" i="1"/>
  <c r="K22" i="1"/>
  <c r="E63" i="1"/>
  <c r="F63" i="1" s="1"/>
  <c r="J63" i="1"/>
  <c r="K63" i="1"/>
  <c r="K61" i="1"/>
  <c r="K62" i="1"/>
  <c r="J61" i="1"/>
  <c r="J62" i="1"/>
  <c r="E61" i="1"/>
  <c r="F61" i="1" s="1"/>
  <c r="E62" i="1"/>
  <c r="F62" i="1" s="1"/>
  <c r="E60" i="1"/>
  <c r="F60" i="1" s="1"/>
  <c r="J60" i="1"/>
  <c r="K60" i="1"/>
  <c r="E59" i="1"/>
  <c r="F59" i="1" s="1"/>
  <c r="J59" i="1"/>
  <c r="K59" i="1"/>
  <c r="E58" i="1"/>
  <c r="F58" i="1" s="1"/>
  <c r="J58" i="1"/>
  <c r="K58" i="1"/>
  <c r="E57" i="1"/>
  <c r="F57" i="1" s="1"/>
  <c r="J57" i="1"/>
  <c r="K57" i="1"/>
  <c r="E56" i="1"/>
  <c r="F56" i="1" s="1"/>
  <c r="J56" i="1"/>
  <c r="K56" i="1"/>
  <c r="E55" i="1"/>
  <c r="F55" i="1" s="1"/>
  <c r="J55" i="1"/>
  <c r="K55" i="1"/>
  <c r="E54" i="1"/>
  <c r="F54" i="1" s="1"/>
  <c r="J54" i="1"/>
  <c r="K54" i="1"/>
  <c r="E53" i="1"/>
  <c r="F53" i="1" s="1"/>
  <c r="J53" i="1"/>
  <c r="K53" i="1"/>
  <c r="E34" i="1"/>
  <c r="F34" i="1" s="1"/>
  <c r="J34" i="1"/>
  <c r="K34" i="1"/>
  <c r="E33" i="1"/>
  <c r="F33" i="1" s="1"/>
  <c r="J33" i="1"/>
  <c r="K33" i="1"/>
  <c r="E32" i="1"/>
  <c r="F32" i="1" s="1"/>
  <c r="J32" i="1"/>
  <c r="K32" i="1"/>
  <c r="K29" i="1"/>
  <c r="K30" i="1"/>
  <c r="K31" i="1"/>
  <c r="J29" i="1"/>
  <c r="J30" i="1"/>
  <c r="J31" i="1"/>
  <c r="E30" i="1"/>
  <c r="F30" i="1" s="1"/>
  <c r="E31" i="1"/>
  <c r="F31" i="1" s="1"/>
  <c r="E29" i="1"/>
  <c r="F29" i="1" s="1"/>
  <c r="J23" i="1"/>
  <c r="J24" i="1"/>
  <c r="J25" i="1"/>
  <c r="J26" i="1"/>
  <c r="J27" i="1"/>
  <c r="J28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51" i="1"/>
  <c r="K52" i="1"/>
  <c r="K23" i="1"/>
  <c r="K24" i="1"/>
  <c r="K25" i="1"/>
  <c r="K26" i="1"/>
  <c r="K27" i="1"/>
  <c r="K28" i="1"/>
  <c r="E25" i="1"/>
  <c r="F25" i="1" s="1"/>
  <c r="E26" i="1"/>
  <c r="F26" i="1" s="1"/>
  <c r="E27" i="1"/>
  <c r="F27" i="1" s="1"/>
  <c r="E28" i="1"/>
  <c r="F28" i="1" s="1"/>
  <c r="E24" i="1"/>
  <c r="F24" i="1" s="1"/>
  <c r="J41" i="1"/>
  <c r="J42" i="1"/>
  <c r="J43" i="1"/>
  <c r="J44" i="1"/>
  <c r="J45" i="1"/>
  <c r="J46" i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0" i="1"/>
  <c r="F40" i="1" s="1"/>
  <c r="J40" i="1"/>
  <c r="J37" i="1"/>
  <c r="J36" i="1"/>
  <c r="E36" i="1"/>
  <c r="F36" i="1" s="1"/>
  <c r="E37" i="1"/>
  <c r="F37" i="1" s="1"/>
  <c r="E52" i="1"/>
  <c r="F52" i="1" s="1"/>
  <c r="J52" i="1"/>
  <c r="E51" i="1"/>
  <c r="F51" i="1" s="1"/>
  <c r="J51" i="1"/>
  <c r="E47" i="1"/>
  <c r="F47" i="1" s="1"/>
  <c r="J47" i="1"/>
  <c r="J39" i="1"/>
  <c r="J38" i="1"/>
  <c r="E38" i="1"/>
  <c r="F38" i="1" s="1"/>
  <c r="E39" i="1"/>
  <c r="F39" i="1" s="1"/>
  <c r="J35" i="1"/>
  <c r="E23" i="1"/>
  <c r="F23" i="1" s="1"/>
</calcChain>
</file>

<file path=xl/sharedStrings.xml><?xml version="1.0" encoding="utf-8"?>
<sst xmlns="http://schemas.openxmlformats.org/spreadsheetml/2006/main" count="261" uniqueCount="108">
  <si>
    <t>Produkte</t>
  </si>
  <si>
    <t>Link</t>
  </si>
  <si>
    <t>Kategorie</t>
  </si>
  <si>
    <t>Kaufpreis</t>
  </si>
  <si>
    <t>Verkaufspreis</t>
  </si>
  <si>
    <t>Gewinn in €</t>
  </si>
  <si>
    <t>Gewinn in %</t>
  </si>
  <si>
    <t>Gesammtgewinn</t>
  </si>
  <si>
    <t>Wasserflaschen-Dispenser</t>
  </si>
  <si>
    <t xml:space="preserve">Mixer </t>
  </si>
  <si>
    <t xml:space="preserve">Multipeler Vegetables Chopper </t>
  </si>
  <si>
    <t>https://cjdropshipping.com/product/desk-dispenser-electric-water-gallon-automatic-water-bottle-dispenser-rechargeable-water-dispenser-p-1621032671155597312.html (20,50€) +8€ =40%  7-13 tage</t>
  </si>
  <si>
    <t>https://cjdropshipping.com/product/350ml-electric-juicer-blender-mixer-usb-rechargeable-machine-household-portable-blender-maker-cup-kitchen-tool-kit-p-1392009095543918592.html</t>
  </si>
  <si>
    <t>https://cjdropshipping.com/product/garlic-crusher-onion-chopper-multipeler-vegetables-chopper-manual-garlic-press-machine-garlic-squeezer-kitchen-gadget-p-1633393678565781504.html</t>
  </si>
  <si>
    <t>Anti lost finder</t>
  </si>
  <si>
    <t xml:space="preserve">https://cjdropshipping.com/product/water-drop-bluetooth-compatible-anti-lost-object-finder-p-9FA9912D-F0AF-42A9-B2AF-FA05AD14E1E3.html </t>
  </si>
  <si>
    <t>Home electronic Clock</t>
  </si>
  <si>
    <t>https://cjdropshipping.com/product/home-electronic-clock-p-135B501D-9ECC-4116-AA18-DD403DE2E4EC.html</t>
  </si>
  <si>
    <t>Distance Measuring Instrument Electronic</t>
  </si>
  <si>
    <t>https://cjdropshipping.com/product/distance-measuring-instrument-electronic-measuring-ruler-tape-measure-high-definition-digital-lcd-high-precision-electronic-measuring-ruler-tool-p-0E94A308-8CE9-4FAF-8B82-39FFF20AA837.html</t>
  </si>
  <si>
    <t>Haushalt und Küche</t>
  </si>
  <si>
    <t>Technik/Gadgets</t>
  </si>
  <si>
    <t>Beleuchtung</t>
  </si>
  <si>
    <t>https://cjdropshipping.com/product/waterproof-new-rgb-led-solar-light-step-fence-light-p-1363045794600587264.html</t>
  </si>
  <si>
    <t xml:space="preserve">4 In 1 Self Cleaning Hair Brush </t>
  </si>
  <si>
    <t>https://cjdropshipping.com/product/4-in-1-self-cleaning-hair-brush-new-self-cleaning-anti-static-massage-comb-scalable-rotate-lifting-self-cleaning-hairbrush-p-1711943102027542528.html</t>
  </si>
  <si>
    <t>https://cjdropshipping.com/product/volcanic-flame-aroma-essential-oil-diffuser-usb-portable-jellyfish-air-humidifier-night-light-lamp-fragrance-humidifier-p-1602125961166860288.html</t>
  </si>
  <si>
    <t xml:space="preserve">Versand </t>
  </si>
  <si>
    <t>7-13 Tage</t>
  </si>
  <si>
    <t>Körperpflege/Wellness</t>
  </si>
  <si>
    <t>6-11 Tage</t>
  </si>
  <si>
    <t>8-15 Tage</t>
  </si>
  <si>
    <t>Led Water Wooden base</t>
  </si>
  <si>
    <t xml:space="preserve">LED Water in Crown </t>
  </si>
  <si>
    <t>Indoor Sensing Wall Lamp Schwarz</t>
  </si>
  <si>
    <t>Indoor Sensing Wall Lamp Weiß</t>
  </si>
  <si>
    <t>Waterproof RGB</t>
  </si>
  <si>
    <t>https://cjdropshipping.com/product/indoor-sensing-usb-charging-wall-lamp-p-1373821404948074496.html</t>
  </si>
  <si>
    <t>Crystal Ball Mond</t>
  </si>
  <si>
    <t>Crystal Ball Riesenrad</t>
  </si>
  <si>
    <t>Crystal Ball Wassermolch</t>
  </si>
  <si>
    <t>Crystal Ball Saturn</t>
  </si>
  <si>
    <t>Crystal Ball Segelboot</t>
  </si>
  <si>
    <t>Crystal Ball Schneemann</t>
  </si>
  <si>
    <t>Crystal Ball Sternenhimmel</t>
  </si>
  <si>
    <t>????????????</t>
  </si>
  <si>
    <t>https://cjdropshipping.com/product/luminous-starry-sky-and-planets-moon-moon-crystal-ball-small-night-lamp-projection-ambience-light-creative-gift-new-strange-gift-p-1555129918592397312.html</t>
  </si>
  <si>
    <t>https://cjdropshipping.com/product/portable-mini-thermal-label-printer-home-photo-printer-student-wrong-question-printer-bluetooth-compatible-mini-label-printer-price-tag-p-1465145114119770112.html</t>
  </si>
  <si>
    <t>Mini Thermal Drucker Grün</t>
  </si>
  <si>
    <t>Mini Thermal Drucker Blau</t>
  </si>
  <si>
    <t xml:space="preserve">Mini Thermal Drucker Pink </t>
  </si>
  <si>
    <t>Mini Thermal Drucker Gelb</t>
  </si>
  <si>
    <t>Mini Thermal Drucker Weiß</t>
  </si>
  <si>
    <t>Gewinn nach 20% rabbat in €</t>
  </si>
  <si>
    <t>Gewinn nach 20% rabbat in %</t>
  </si>
  <si>
    <t xml:space="preserve">Verkäufe in Stück </t>
  </si>
  <si>
    <t>Style A Rollen</t>
  </si>
  <si>
    <t>Style B Rollen</t>
  </si>
  <si>
    <t>Style C Rollen</t>
  </si>
  <si>
    <t>Tragbarer Beamer Weiß</t>
  </si>
  <si>
    <t>Tragbarer Beamer Silber</t>
  </si>
  <si>
    <t>https://cjdropshipping.com/product/portable-projector-small-straight-projector-for-home-use-180-degrees-projection-angle-automatic-focus-home-video-projector-p-1684089880936194048.html</t>
  </si>
  <si>
    <t>Tumbler Schwarz</t>
  </si>
  <si>
    <t>Tumbler Cream Weiß</t>
  </si>
  <si>
    <t>Tumbler Hellblau</t>
  </si>
  <si>
    <t>Tumbler Bay Leaves</t>
  </si>
  <si>
    <t>Tumbler Marina</t>
  </si>
  <si>
    <t>Tumbler Hell Lila</t>
  </si>
  <si>
    <t>Tumbler Rosa</t>
  </si>
  <si>
    <t>Tumbler Rostrot</t>
  </si>
  <si>
    <t>Tumbler Pink</t>
  </si>
  <si>
    <t>Tumbler Stohhalm</t>
  </si>
  <si>
    <t>Tumbler Weiß</t>
  </si>
  <si>
    <t>https://cjdropshipping.com/product/40-oz-tumbler-with-handle-straw-insulated-stainless-steel-spill-proof-vacuum-coffee-cup-tumbler-with-lid-tapered-mug-gifts-for-valentine-lover-suitable-for-car-gym-office-travel-p-1610884907201474560.html</t>
  </si>
  <si>
    <t>Klimaanlage mit Display</t>
  </si>
  <si>
    <t>https://cjdropshipping.com/product/air-conditioner-air-cooler-fan-water-cooling-fan-air-conditioning-for-room-office-portable-air-conditioner-cars-p-1665166365889662976.html</t>
  </si>
  <si>
    <t>Aroma Öl</t>
  </si>
  <si>
    <t>10-30 Tage</t>
  </si>
  <si>
    <t>https://cjdropshipping.com/product/aromatherapy-essential-oil-humidifier-p-09477003-744E-4989-90DA-187CCB640556.html</t>
  </si>
  <si>
    <t xml:space="preserve">Aroma Öl Diffusor </t>
  </si>
  <si>
    <t>https://cjdropshipping.com/product/spray-moisturizing-device-face-steamer-beauty-device-p-1560496709854310400.html</t>
  </si>
  <si>
    <t>Gesichtssauna Blau</t>
  </si>
  <si>
    <t>Gesichtssauna Weiß</t>
  </si>
  <si>
    <t>Thermische Massage Weiß</t>
  </si>
  <si>
    <t>Thermische Massage Schwarz</t>
  </si>
  <si>
    <t>https://cjdropshipping.com/product/ems-thermal-neck-lifting-and-tighten-massager-electric-microcurrent-wrinkle-remover-p-1720366333747015680.html</t>
  </si>
  <si>
    <t>Mitesserentferner Gerät</t>
  </si>
  <si>
    <t>https://cjdropshipping.com/product/blackhead-instrument-electric-suction-facial-washing-instrument-beauty-acne-cleaning-blackhead-suction-instrument-p-04A29CAE-6088-43FB-8650-97F506FC5784.html</t>
  </si>
  <si>
    <t xml:space="preserve">Proffesioneller 5 in 1 Haar Trockner </t>
  </si>
  <si>
    <t>https://cjdropshipping.com/product/professional-5-in-1-hair-dryer-brush-dryer-and-straightening-brush-electric-hair-styling-tool-automatic-hair-curler-beauty-supplies-gadgets-p-1490985480433569792.html</t>
  </si>
  <si>
    <t>Jade Stein Pink</t>
  </si>
  <si>
    <t>Jade Stein Grün</t>
  </si>
  <si>
    <t>Jade Stein Weiß</t>
  </si>
  <si>
    <t>https://cjdropshipping.com/product/jade-scraping-tablets-jade-scraping-massager-p-1359775414209351680.html</t>
  </si>
  <si>
    <t>Elektronische Premium Jade Stein</t>
  </si>
  <si>
    <t>https://cjdropshipping.com/product/electric-guasha-massager-ems-face-lifting-remove-edema-firming-skin-clod-heat-body-scraping-therapy-skincare-beauty-device-p-1792088342058770432.html</t>
  </si>
  <si>
    <t>https://cjdropshipping.com/product/coffee-mug-warmer-warm-coaster-smart-heating-cup-thermal-insulation-constant-temperature-coaster-heating-pad-desktop-p-1642512124880621568.html</t>
  </si>
  <si>
    <t xml:space="preserve">Wärmender Untersetzter Pink </t>
  </si>
  <si>
    <t>Wärmender Untersetzter Grün</t>
  </si>
  <si>
    <t>Wärmender Untersetzter Weiß</t>
  </si>
  <si>
    <t>2 in 1 Öl Sprayer Flasche</t>
  </si>
  <si>
    <t>https://cjdropshipping.com/product/2-in-1-oil-sprayer-bottle-bbq-cooking-oil-dispenser-olive-oil-pourers-sprayer-kitchen-baking-oil-mister-vinegar-bottle-p-1715574082122551296.html</t>
  </si>
  <si>
    <t>Tumbler Merry Christmas</t>
  </si>
  <si>
    <t>Tumbler Weihnachtszauber</t>
  </si>
  <si>
    <t>Nordic Crystall Lampe Schwarz</t>
  </si>
  <si>
    <t>Nordic Crystall Lampe Weiß</t>
  </si>
  <si>
    <t>Nordic Crystall Lampe Gelb</t>
  </si>
  <si>
    <t>https://cjdropshipping.com/product/nordic-crystal-lamp-usb-table-lamps-bedroom-touch-dimming-atmosphere-diamond-night-light-rose-projector-lamp-decor-p-1419937361378283520.html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</si>
</sst>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333333"/>
      <name val="PingFangSC"/>
    </font>
    <font>
      <sz val="14"/>
      <color rgb="FF333333"/>
      <name val="PingFangSC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2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8" fontId="6" fillId="4" borderId="4" xfId="0" applyNumberFormat="1" applyFont="1" applyFill="1" applyBorder="1"/>
    <xf numFmtId="8" fontId="6" fillId="5" borderId="4" xfId="0" applyNumberFormat="1" applyFont="1" applyFill="1" applyBorder="1"/>
    <xf numFmtId="8" fontId="6" fillId="3" borderId="4" xfId="0" applyNumberFormat="1" applyFont="1" applyFill="1" applyBorder="1"/>
    <xf numFmtId="8" fontId="6" fillId="2" borderId="4" xfId="0" applyNumberFormat="1" applyFont="1" applyFill="1" applyBorder="1"/>
    <xf numFmtId="0" fontId="6" fillId="4" borderId="4" xfId="0" applyFont="1" applyFill="1" applyBorder="1"/>
    <xf numFmtId="9" fontId="6" fillId="4" borderId="4" xfId="0" applyNumberFormat="1" applyFont="1" applyFill="1" applyBorder="1"/>
    <xf numFmtId="9" fontId="6" fillId="4" borderId="4" xfId="1" applyFont="1" applyFill="1" applyBorder="1"/>
    <xf numFmtId="0" fontId="6" fillId="5" borderId="4" xfId="0" applyFont="1" applyFill="1" applyBorder="1"/>
    <xf numFmtId="9" fontId="6" fillId="5" borderId="4" xfId="0" applyNumberFormat="1" applyFont="1" applyFill="1" applyBorder="1"/>
    <xf numFmtId="9" fontId="6" fillId="5" borderId="4" xfId="1" applyFont="1" applyFill="1" applyBorder="1"/>
    <xf numFmtId="8" fontId="7" fillId="5" borderId="4" xfId="0" applyNumberFormat="1" applyFont="1" applyFill="1" applyBorder="1"/>
    <xf numFmtId="0" fontId="8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/>
    <xf numFmtId="9" fontId="6" fillId="3" borderId="4" xfId="0" applyNumberFormat="1" applyFont="1" applyFill="1" applyBorder="1"/>
    <xf numFmtId="9" fontId="6" fillId="3" borderId="4" xfId="1" applyFont="1" applyFill="1" applyBorder="1"/>
    <xf numFmtId="0" fontId="6" fillId="2" borderId="4" xfId="0" applyFont="1" applyFill="1" applyBorder="1"/>
    <xf numFmtId="9" fontId="6" fillId="2" borderId="4" xfId="0" applyNumberFormat="1" applyFont="1" applyFill="1" applyBorder="1"/>
    <xf numFmtId="9" fontId="6" fillId="2" borderId="4" xfId="1" applyFont="1" applyFill="1" applyBorder="1"/>
  </cellXfs>
  <cellStyles count="3">
    <cellStyle name="Link" xfId="2" builtinId="8"/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jdropshipping.com/product/waterproof-new-rgb-led-solar-light-step-fence-light-p-1363045794600587264.html" TargetMode="External"/><Relationship Id="rId13" Type="http://schemas.openxmlformats.org/officeDocument/2006/relationships/hyperlink" Target="https://cjdropshipping.com/product/portable-projector-small-straight-projector-for-home-use-180-degrees-projection-angle-automatic-focus-home-video-projector-p-1684089880936194048.html" TargetMode="External"/><Relationship Id="rId18" Type="http://schemas.openxmlformats.org/officeDocument/2006/relationships/hyperlink" Target="https://cjdropshipping.com/product/ems-thermal-neck-lifting-and-tighten-massager-electric-microcurrent-wrinkle-remover-p-1720366333747015680.html" TargetMode="External"/><Relationship Id="rId3" Type="http://schemas.openxmlformats.org/officeDocument/2006/relationships/hyperlink" Target="https://cjdropshipping.com/product/350ml-electric-juicer-blender-mixer-usb-rechargeable-machine-household-portable-blender-maker-cup-kitchen-tool-kit-p-1392009095543918592.html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cjdropshipping.com/product/indoor-sensing-usb-charging-wall-lamp-p-1373821404948074496.html" TargetMode="External"/><Relationship Id="rId12" Type="http://schemas.openxmlformats.org/officeDocument/2006/relationships/hyperlink" Target="https://cjdropshipping.com/product/portable-mini-thermal-label-printer-home-photo-printer-student-wrong-question-printer-bluetooth-compatible-mini-label-printer-price-tag-p-1465145114119770112.html" TargetMode="External"/><Relationship Id="rId17" Type="http://schemas.openxmlformats.org/officeDocument/2006/relationships/hyperlink" Target="https://cjdropshipping.com/product/ems-thermal-neck-lifting-and-tighten-massager-electric-microcurrent-wrinkle-remover-p-1720366333747015680.html" TargetMode="External"/><Relationship Id="rId2" Type="http://schemas.openxmlformats.org/officeDocument/2006/relationships/hyperlink" Target="https://cjdropshipping.com/product/home-electronic-clock-p-135B501D-9ECC-4116-AA18-DD403DE2E4EC.html" TargetMode="External"/><Relationship Id="rId16" Type="http://schemas.openxmlformats.org/officeDocument/2006/relationships/hyperlink" Target="https://cjdropshipping.com/product/spray-moisturizing-device-face-steamer-beauty-device-p-1560496709854310400.html" TargetMode="External"/><Relationship Id="rId20" Type="http://schemas.openxmlformats.org/officeDocument/2006/relationships/hyperlink" Target="https://cjdropshipping.com/product/jade-scraping-tablets-jade-scraping-massager-p-1359775414209351680.html" TargetMode="External"/><Relationship Id="rId1" Type="http://schemas.openxmlformats.org/officeDocument/2006/relationships/hyperlink" Target="https://cjdropshipping.com/product/garlic-crusher-onion-chopper-multipeler-vegetables-chopper-manual-garlic-press-machine-garlic-squeezer-kitchen-gadget-p-1633393678565781504.html" TargetMode="External"/><Relationship Id="rId6" Type="http://schemas.openxmlformats.org/officeDocument/2006/relationships/hyperlink" Target="https://cjdropshipping.com/product/indoor-sensing-usb-charging-wall-lamp-p-1373821404948074496.html" TargetMode="External"/><Relationship Id="rId11" Type="http://schemas.openxmlformats.org/officeDocument/2006/relationships/hyperlink" Target="https://cjdropshipping.com/product/volcanic-flame-aroma-essential-oil-diffuser-usb-portable-jellyfish-air-humidifier-night-light-lamp-fragrance-humidifier-p-1602125961166860288.html" TargetMode="External"/><Relationship Id="rId5" Type="http://schemas.openxmlformats.org/officeDocument/2006/relationships/hyperlink" Target="https://cjdropshipping.com/product/4-in-1-self-cleaning-hair-brush-new-self-cleaning-anti-static-massage-comb-scalable-rotate-lifting-self-cleaning-hairbrush-p-1711943102027542528.html" TargetMode="External"/><Relationship Id="rId15" Type="http://schemas.openxmlformats.org/officeDocument/2006/relationships/hyperlink" Target="https://cjdropshipping.com/product/spray-moisturizing-device-face-steamer-beauty-device-p-1560496709854310400.html" TargetMode="External"/><Relationship Id="rId10" Type="http://schemas.openxmlformats.org/officeDocument/2006/relationships/hyperlink" Target="https://cjdropshipping.com/product/luminous-starry-sky-and-planets-moon-moon-crystal-ball-small-night-lamp-projection-ambience-light-creative-gift-new-strange-gift-p-1555129918592397312.html" TargetMode="External"/><Relationship Id="rId19" Type="http://schemas.openxmlformats.org/officeDocument/2006/relationships/hyperlink" Target="https://cjdropshipping.com/product/jade-scraping-tablets-jade-scraping-massager-p-1359775414209351680.html" TargetMode="External"/><Relationship Id="rId4" Type="http://schemas.openxmlformats.org/officeDocument/2006/relationships/hyperlink" Target="https://cjdropshipping.com/product/waterproof-new-rgb-led-solar-light-step-fence-light-p-1363045794600587264.html" TargetMode="External"/><Relationship Id="rId9" Type="http://schemas.openxmlformats.org/officeDocument/2006/relationships/hyperlink" Target="https://cjdropshipping.com/product/luminous-starry-sky-and-planets-moon-moon-crystal-ball-small-night-lamp-projection-ambience-light-creative-gift-new-strange-gift-p-1555129918592397312.html" TargetMode="External"/><Relationship Id="rId14" Type="http://schemas.openxmlformats.org/officeDocument/2006/relationships/hyperlink" Target="https://cjdropshipping.com/product/portable-projector-small-straight-projector-for-home-use-180-degrees-projection-angle-automatic-focus-home-video-projector-p-168408988093619404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58E1-2F85-42BB-A126-8E49DACEA2EA}">
  <dimension ref="A1:L63"/>
  <sheetViews>
    <sheetView tabSelected="1" topLeftCell="A49" zoomScale="68" zoomScaleNormal="68" workbookViewId="0">
      <selection activeCell="A46" sqref="A46"/>
    </sheetView>
  </sheetViews>
  <sheetFormatPr baseColWidth="10" defaultRowHeight="14.5"/>
  <cols>
    <col min="1" max="1" width="36" customWidth="1"/>
    <col min="2" max="2" width="21.54296875" customWidth="1"/>
    <col min="4" max="4" width="13.7265625" customWidth="1"/>
    <col min="7" max="7" width="15.26953125" customWidth="1"/>
    <col min="8" max="8" width="15.90625" bestFit="1" customWidth="1"/>
    <col min="10" max="10" width="25.1796875" customWidth="1"/>
    <col min="11" max="11" width="26.1796875" customWidth="1"/>
    <col min="12" max="12" width="181.90625" customWidth="1"/>
  </cols>
  <sheetData>
    <row r="1" spans="1:12" ht="45.5" customHeight="1">
      <c r="A1" s="3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55</v>
      </c>
      <c r="H1" s="4" t="s">
        <v>7</v>
      </c>
      <c r="I1" s="4" t="s">
        <v>27</v>
      </c>
      <c r="J1" s="4" t="s">
        <v>54</v>
      </c>
      <c r="K1" s="5" t="s">
        <v>53</v>
      </c>
      <c r="L1" s="1" t="s">
        <v>1</v>
      </c>
    </row>
    <row r="2" spans="1:12" ht="18.5">
      <c r="A2" s="10" t="s">
        <v>8</v>
      </c>
      <c r="B2" s="10" t="s">
        <v>20</v>
      </c>
      <c r="C2" s="6">
        <v>20.5</v>
      </c>
      <c r="D2" s="6">
        <v>28.99</v>
      </c>
      <c r="E2" s="6">
        <f>D2-C2</f>
        <v>8.4899999999999984</v>
      </c>
      <c r="F2" s="11">
        <f>E2/C2</f>
        <v>0.41414634146341456</v>
      </c>
      <c r="G2" s="6">
        <v>0</v>
      </c>
      <c r="H2" s="6">
        <v>0</v>
      </c>
      <c r="I2" s="10" t="s">
        <v>28</v>
      </c>
      <c r="J2" s="12">
        <f>((D2*(1-20%))-C2)/C2</f>
        <v>0.13131707317073171</v>
      </c>
      <c r="K2" s="6">
        <f>D2*(1-20%)-C2</f>
        <v>2.6920000000000002</v>
      </c>
      <c r="L2" t="s">
        <v>11</v>
      </c>
    </row>
    <row r="3" spans="1:12" ht="18.5">
      <c r="A3" s="10" t="s">
        <v>9</v>
      </c>
      <c r="B3" s="10" t="s">
        <v>20</v>
      </c>
      <c r="C3" s="6">
        <v>24.98</v>
      </c>
      <c r="D3" s="6">
        <v>32.99</v>
      </c>
      <c r="E3" s="6">
        <f>D3-C3</f>
        <v>8.0100000000000016</v>
      </c>
      <c r="F3" s="11">
        <f>E3/C3</f>
        <v>0.32065652522017618</v>
      </c>
      <c r="G3" s="6">
        <v>0</v>
      </c>
      <c r="H3" s="6">
        <v>0</v>
      </c>
      <c r="I3" s="10" t="s">
        <v>28</v>
      </c>
      <c r="J3" s="12">
        <f>((D3*(1-20%))-C3)/C3</f>
        <v>5.6525220176141013E-2</v>
      </c>
      <c r="K3" s="6">
        <f t="shared" ref="K3:K63" si="0">D3*(1-20%)-C3</f>
        <v>1.4120000000000026</v>
      </c>
      <c r="L3" s="2" t="s">
        <v>12</v>
      </c>
    </row>
    <row r="4" spans="1:12" ht="18.5">
      <c r="A4" s="10" t="s">
        <v>10</v>
      </c>
      <c r="B4" s="10" t="s">
        <v>20</v>
      </c>
      <c r="C4" s="6">
        <v>7.92</v>
      </c>
      <c r="D4" s="6">
        <v>16.989999999999998</v>
      </c>
      <c r="E4" s="6">
        <f>D4-C4</f>
        <v>9.0699999999999985</v>
      </c>
      <c r="F4" s="11">
        <f>E4/C4</f>
        <v>1.1452020202020201</v>
      </c>
      <c r="G4" s="6">
        <v>0</v>
      </c>
      <c r="H4" s="6">
        <v>0</v>
      </c>
      <c r="I4" s="10" t="s">
        <v>30</v>
      </c>
      <c r="J4" s="12">
        <f>((D4*(1-20%))-C4)/C4</f>
        <v>0.716161616161616</v>
      </c>
      <c r="K4" s="6">
        <f t="shared" si="0"/>
        <v>5.6719999999999988</v>
      </c>
      <c r="L4" s="2" t="s">
        <v>13</v>
      </c>
    </row>
    <row r="5" spans="1:12" ht="18.5">
      <c r="A5" s="10" t="s">
        <v>62</v>
      </c>
      <c r="B5" s="10" t="s">
        <v>20</v>
      </c>
      <c r="C5" s="6">
        <v>12.85</v>
      </c>
      <c r="D5" s="6">
        <v>19.989999999999998</v>
      </c>
      <c r="E5" s="6">
        <f t="shared" ref="E5:E21" si="1">D5-C5</f>
        <v>7.1399999999999988</v>
      </c>
      <c r="F5" s="11">
        <f t="shared" ref="F5:F21" si="2">E5/C5</f>
        <v>0.55564202334630342</v>
      </c>
      <c r="G5" s="6">
        <v>0</v>
      </c>
      <c r="H5" s="6">
        <v>0</v>
      </c>
      <c r="I5" s="10" t="s">
        <v>30</v>
      </c>
      <c r="J5" s="12">
        <f t="shared" ref="J5:J21" si="3">((D5*(1-20%))-C5)/C5</f>
        <v>0.24451361867704277</v>
      </c>
      <c r="K5" s="6">
        <f t="shared" si="0"/>
        <v>3.1419999999999995</v>
      </c>
      <c r="L5" s="2" t="s">
        <v>73</v>
      </c>
    </row>
    <row r="6" spans="1:12" ht="18.5">
      <c r="A6" s="10" t="s">
        <v>63</v>
      </c>
      <c r="B6" s="10" t="s">
        <v>20</v>
      </c>
      <c r="C6" s="6">
        <v>12.85</v>
      </c>
      <c r="D6" s="6">
        <v>19.989999999999998</v>
      </c>
      <c r="E6" s="6">
        <f t="shared" si="1"/>
        <v>7.1399999999999988</v>
      </c>
      <c r="F6" s="11">
        <f t="shared" si="2"/>
        <v>0.55564202334630342</v>
      </c>
      <c r="G6" s="6">
        <v>0</v>
      </c>
      <c r="H6" s="6">
        <v>0</v>
      </c>
      <c r="I6" s="10" t="s">
        <v>30</v>
      </c>
      <c r="J6" s="12">
        <f t="shared" si="3"/>
        <v>0.24451361867704277</v>
      </c>
      <c r="K6" s="6">
        <f t="shared" si="0"/>
        <v>3.1419999999999995</v>
      </c>
      <c r="L6" s="2" t="s">
        <v>73</v>
      </c>
    </row>
    <row r="7" spans="1:12" ht="18.5">
      <c r="A7" s="10" t="s">
        <v>64</v>
      </c>
      <c r="B7" s="10" t="s">
        <v>20</v>
      </c>
      <c r="C7" s="6">
        <v>12.62</v>
      </c>
      <c r="D7" s="6">
        <v>19.989999999999998</v>
      </c>
      <c r="E7" s="6">
        <f t="shared" si="1"/>
        <v>7.3699999999999992</v>
      </c>
      <c r="F7" s="11">
        <f t="shared" si="2"/>
        <v>0.58399366085578441</v>
      </c>
      <c r="G7" s="6">
        <v>0</v>
      </c>
      <c r="H7" s="6">
        <v>0</v>
      </c>
      <c r="I7" s="10" t="s">
        <v>30</v>
      </c>
      <c r="J7" s="12">
        <f t="shared" si="3"/>
        <v>0.26719492868462758</v>
      </c>
      <c r="K7" s="6">
        <f t="shared" si="0"/>
        <v>3.3719999999999999</v>
      </c>
      <c r="L7" s="2" t="s">
        <v>73</v>
      </c>
    </row>
    <row r="8" spans="1:12" ht="18.5">
      <c r="A8" s="10" t="s">
        <v>65</v>
      </c>
      <c r="B8" s="10" t="s">
        <v>20</v>
      </c>
      <c r="C8" s="6">
        <v>11.88</v>
      </c>
      <c r="D8" s="6">
        <v>19.989999999999998</v>
      </c>
      <c r="E8" s="6">
        <f t="shared" si="1"/>
        <v>8.1099999999999977</v>
      </c>
      <c r="F8" s="11">
        <f t="shared" si="2"/>
        <v>0.68265993265993241</v>
      </c>
      <c r="G8" s="6">
        <v>0</v>
      </c>
      <c r="H8" s="6">
        <v>0</v>
      </c>
      <c r="I8" s="10" t="s">
        <v>30</v>
      </c>
      <c r="J8" s="12">
        <f t="shared" si="3"/>
        <v>0.34612794612794595</v>
      </c>
      <c r="K8" s="6">
        <f t="shared" si="0"/>
        <v>4.1119999999999983</v>
      </c>
      <c r="L8" s="2" t="s">
        <v>73</v>
      </c>
    </row>
    <row r="9" spans="1:12" ht="18.5">
      <c r="A9" s="10" t="s">
        <v>69</v>
      </c>
      <c r="B9" s="10" t="s">
        <v>20</v>
      </c>
      <c r="C9" s="6">
        <v>11.88</v>
      </c>
      <c r="D9" s="6">
        <v>19.989999999999998</v>
      </c>
      <c r="E9" s="6">
        <f t="shared" si="1"/>
        <v>8.1099999999999977</v>
      </c>
      <c r="F9" s="11">
        <f t="shared" si="2"/>
        <v>0.68265993265993241</v>
      </c>
      <c r="G9" s="6">
        <v>0</v>
      </c>
      <c r="H9" s="6">
        <v>0</v>
      </c>
      <c r="I9" s="10" t="s">
        <v>30</v>
      </c>
      <c r="J9" s="12">
        <f t="shared" si="3"/>
        <v>0.34612794612794595</v>
      </c>
      <c r="K9" s="6">
        <f t="shared" si="0"/>
        <v>4.1119999999999983</v>
      </c>
      <c r="L9" s="2" t="s">
        <v>73</v>
      </c>
    </row>
    <row r="10" spans="1:12" ht="18.5">
      <c r="A10" s="10" t="s">
        <v>70</v>
      </c>
      <c r="B10" s="10" t="s">
        <v>20</v>
      </c>
      <c r="C10" s="6">
        <v>13.42</v>
      </c>
      <c r="D10" s="6">
        <v>19.989999999999998</v>
      </c>
      <c r="E10" s="6">
        <f t="shared" si="1"/>
        <v>6.5699999999999985</v>
      </c>
      <c r="F10" s="11">
        <f t="shared" si="2"/>
        <v>0.48956780923994025</v>
      </c>
      <c r="G10" s="6">
        <v>0</v>
      </c>
      <c r="H10" s="6">
        <v>0</v>
      </c>
      <c r="I10" s="10" t="s">
        <v>30</v>
      </c>
      <c r="J10" s="12">
        <f t="shared" si="3"/>
        <v>0.19165424739195225</v>
      </c>
      <c r="K10" s="6">
        <f t="shared" si="0"/>
        <v>2.5719999999999992</v>
      </c>
      <c r="L10" s="2" t="s">
        <v>73</v>
      </c>
    </row>
    <row r="11" spans="1:12" ht="18.5">
      <c r="A11" s="10" t="s">
        <v>68</v>
      </c>
      <c r="B11" s="10" t="s">
        <v>20</v>
      </c>
      <c r="C11" s="6">
        <v>12.62</v>
      </c>
      <c r="D11" s="6">
        <v>19.989999999999998</v>
      </c>
      <c r="E11" s="6">
        <f t="shared" si="1"/>
        <v>7.3699999999999992</v>
      </c>
      <c r="F11" s="11">
        <f t="shared" si="2"/>
        <v>0.58399366085578441</v>
      </c>
      <c r="G11" s="6">
        <v>0</v>
      </c>
      <c r="H11" s="6">
        <v>0</v>
      </c>
      <c r="I11" s="10" t="s">
        <v>30</v>
      </c>
      <c r="J11" s="12">
        <f t="shared" si="3"/>
        <v>0.26719492868462758</v>
      </c>
      <c r="K11" s="6">
        <f t="shared" si="0"/>
        <v>3.3719999999999999</v>
      </c>
      <c r="L11" s="2" t="s">
        <v>73</v>
      </c>
    </row>
    <row r="12" spans="1:12" ht="18.5">
      <c r="A12" s="10" t="s">
        <v>67</v>
      </c>
      <c r="B12" s="10" t="s">
        <v>20</v>
      </c>
      <c r="C12" s="6">
        <v>13.15</v>
      </c>
      <c r="D12" s="6">
        <v>19.989999999999998</v>
      </c>
      <c r="E12" s="6">
        <f t="shared" si="1"/>
        <v>6.8399999999999981</v>
      </c>
      <c r="F12" s="11">
        <f t="shared" si="2"/>
        <v>0.5201520912547527</v>
      </c>
      <c r="G12" s="6">
        <v>0</v>
      </c>
      <c r="H12" s="6">
        <v>0</v>
      </c>
      <c r="I12" s="10" t="s">
        <v>30</v>
      </c>
      <c r="J12" s="12">
        <f t="shared" si="3"/>
        <v>0.21612167300380217</v>
      </c>
      <c r="K12" s="6">
        <f t="shared" si="0"/>
        <v>2.8419999999999987</v>
      </c>
      <c r="L12" s="2" t="s">
        <v>73</v>
      </c>
    </row>
    <row r="13" spans="1:12" ht="18.5">
      <c r="A13" s="10" t="s">
        <v>72</v>
      </c>
      <c r="B13" s="10" t="s">
        <v>20</v>
      </c>
      <c r="C13" s="6">
        <v>14.45</v>
      </c>
      <c r="D13" s="6">
        <v>19.989999999999998</v>
      </c>
      <c r="E13" s="6">
        <f t="shared" si="1"/>
        <v>5.5399999999999991</v>
      </c>
      <c r="F13" s="11">
        <f t="shared" si="2"/>
        <v>0.38339100346020755</v>
      </c>
      <c r="G13" s="6">
        <v>0</v>
      </c>
      <c r="H13" s="6">
        <v>0</v>
      </c>
      <c r="I13" s="10" t="s">
        <v>30</v>
      </c>
      <c r="J13" s="12">
        <f t="shared" si="3"/>
        <v>0.10671280276816608</v>
      </c>
      <c r="K13" s="6">
        <f t="shared" si="0"/>
        <v>1.5419999999999998</v>
      </c>
      <c r="L13" s="2" t="s">
        <v>73</v>
      </c>
    </row>
    <row r="14" spans="1:12" ht="18.5">
      <c r="A14" s="10" t="s">
        <v>66</v>
      </c>
      <c r="B14" s="10" t="s">
        <v>20</v>
      </c>
      <c r="C14" s="6">
        <v>11.88</v>
      </c>
      <c r="D14" s="6">
        <v>19.989999999999998</v>
      </c>
      <c r="E14" s="6">
        <f t="shared" si="1"/>
        <v>8.1099999999999977</v>
      </c>
      <c r="F14" s="11">
        <f t="shared" si="2"/>
        <v>0.68265993265993241</v>
      </c>
      <c r="G14" s="6">
        <v>0</v>
      </c>
      <c r="H14" s="6">
        <v>0</v>
      </c>
      <c r="I14" s="10" t="s">
        <v>30</v>
      </c>
      <c r="J14" s="12">
        <f t="shared" si="3"/>
        <v>0.34612794612794595</v>
      </c>
      <c r="K14" s="6">
        <f t="shared" si="0"/>
        <v>4.1119999999999983</v>
      </c>
      <c r="L14" s="2" t="s">
        <v>73</v>
      </c>
    </row>
    <row r="15" spans="1:12" ht="18.5">
      <c r="A15" s="10" t="s">
        <v>103</v>
      </c>
      <c r="B15" s="10" t="s">
        <v>20</v>
      </c>
      <c r="C15" s="6">
        <v>13.42</v>
      </c>
      <c r="D15" s="6">
        <v>19.989999999999998</v>
      </c>
      <c r="E15" s="6">
        <f t="shared" si="1"/>
        <v>6.5699999999999985</v>
      </c>
      <c r="F15" s="11">
        <f t="shared" si="2"/>
        <v>0.48956780923994025</v>
      </c>
      <c r="G15" s="6">
        <v>0</v>
      </c>
      <c r="H15" s="6">
        <v>0</v>
      </c>
      <c r="I15" s="10" t="s">
        <v>30</v>
      </c>
      <c r="J15" s="12">
        <f t="shared" si="3"/>
        <v>0.19165424739195225</v>
      </c>
      <c r="K15" s="6">
        <f t="shared" si="0"/>
        <v>2.5719999999999992</v>
      </c>
      <c r="L15" s="2" t="s">
        <v>73</v>
      </c>
    </row>
    <row r="16" spans="1:12" ht="18.5">
      <c r="A16" s="10" t="s">
        <v>102</v>
      </c>
      <c r="B16" s="10" t="s">
        <v>20</v>
      </c>
      <c r="C16" s="6">
        <v>13.42</v>
      </c>
      <c r="D16" s="6">
        <v>19.989999999999998</v>
      </c>
      <c r="E16" s="6">
        <f t="shared" si="1"/>
        <v>6.5699999999999985</v>
      </c>
      <c r="F16" s="11">
        <f t="shared" si="2"/>
        <v>0.48956780923994025</v>
      </c>
      <c r="G16" s="6">
        <v>0</v>
      </c>
      <c r="H16" s="6">
        <v>0</v>
      </c>
      <c r="I16" s="10" t="s">
        <v>30</v>
      </c>
      <c r="J16" s="12">
        <f t="shared" si="3"/>
        <v>0.19165424739195225</v>
      </c>
      <c r="K16" s="6">
        <f t="shared" si="0"/>
        <v>2.5719999999999992</v>
      </c>
      <c r="L16" s="2" t="s">
        <v>73</v>
      </c>
    </row>
    <row r="17" spans="1:12" ht="18.5">
      <c r="A17" s="10" t="s">
        <v>71</v>
      </c>
      <c r="B17" s="10" t="s">
        <v>20</v>
      </c>
      <c r="C17" s="6">
        <v>3.71</v>
      </c>
      <c r="D17" s="6">
        <v>4.99</v>
      </c>
      <c r="E17" s="6">
        <f>D17-C17</f>
        <v>1.2800000000000002</v>
      </c>
      <c r="F17" s="11">
        <f>E17/C17</f>
        <v>0.34501347708894886</v>
      </c>
      <c r="G17" s="6">
        <v>0</v>
      </c>
      <c r="H17" s="6">
        <v>0</v>
      </c>
      <c r="I17" s="10" t="s">
        <v>30</v>
      </c>
      <c r="J17" s="12">
        <f>((D17*(1-20%))-C17)/C17</f>
        <v>7.6010781671159156E-2</v>
      </c>
      <c r="K17" s="6">
        <f>D17*(1-20%)-C17</f>
        <v>0.28200000000000047</v>
      </c>
      <c r="L17" s="2" t="s">
        <v>73</v>
      </c>
    </row>
    <row r="18" spans="1:12" ht="18.5">
      <c r="A18" s="10" t="s">
        <v>100</v>
      </c>
      <c r="B18" s="10" t="s">
        <v>20</v>
      </c>
      <c r="C18" s="6">
        <v>11.33</v>
      </c>
      <c r="D18" s="6">
        <v>18.989999999999998</v>
      </c>
      <c r="E18" s="6">
        <f t="shared" si="1"/>
        <v>7.6599999999999984</v>
      </c>
      <c r="F18" s="11">
        <f t="shared" si="2"/>
        <v>0.67608120035304486</v>
      </c>
      <c r="G18" s="6">
        <v>0</v>
      </c>
      <c r="H18" s="6">
        <v>0</v>
      </c>
      <c r="I18" s="10" t="s">
        <v>30</v>
      </c>
      <c r="J18" s="12">
        <f t="shared" si="3"/>
        <v>0.34086496028243601</v>
      </c>
      <c r="K18" s="6">
        <f t="shared" si="0"/>
        <v>3.8620000000000001</v>
      </c>
      <c r="L18" s="2" t="s">
        <v>101</v>
      </c>
    </row>
    <row r="19" spans="1:12" ht="18.5">
      <c r="A19" s="10" t="s">
        <v>97</v>
      </c>
      <c r="B19" s="10" t="s">
        <v>20</v>
      </c>
      <c r="C19" s="6">
        <v>11.33</v>
      </c>
      <c r="D19" s="6">
        <v>16.989999999999998</v>
      </c>
      <c r="E19" s="6">
        <f t="shared" si="1"/>
        <v>5.6599999999999984</v>
      </c>
      <c r="F19" s="11">
        <f t="shared" si="2"/>
        <v>0.49955869373345085</v>
      </c>
      <c r="G19" s="6">
        <v>0</v>
      </c>
      <c r="H19" s="6">
        <v>0</v>
      </c>
      <c r="I19" s="10" t="s">
        <v>28</v>
      </c>
      <c r="J19" s="12">
        <f t="shared" si="3"/>
        <v>0.19964695498676069</v>
      </c>
      <c r="K19" s="6">
        <f t="shared" si="0"/>
        <v>2.2619999999999987</v>
      </c>
      <c r="L19" s="2" t="s">
        <v>96</v>
      </c>
    </row>
    <row r="20" spans="1:12" ht="18.5">
      <c r="A20" s="10" t="s">
        <v>98</v>
      </c>
      <c r="B20" s="10" t="s">
        <v>20</v>
      </c>
      <c r="C20" s="6">
        <v>11.33</v>
      </c>
      <c r="D20" s="6">
        <v>16.989999999999998</v>
      </c>
      <c r="E20" s="6">
        <f t="shared" si="1"/>
        <v>5.6599999999999984</v>
      </c>
      <c r="F20" s="11">
        <f t="shared" si="2"/>
        <v>0.49955869373345085</v>
      </c>
      <c r="G20" s="6">
        <v>0</v>
      </c>
      <c r="H20" s="6">
        <v>0</v>
      </c>
      <c r="I20" s="10" t="s">
        <v>28</v>
      </c>
      <c r="J20" s="12">
        <f t="shared" si="3"/>
        <v>0.19964695498676069</v>
      </c>
      <c r="K20" s="6">
        <f t="shared" si="0"/>
        <v>2.2619999999999987</v>
      </c>
      <c r="L20" s="2" t="s">
        <v>96</v>
      </c>
    </row>
    <row r="21" spans="1:12" ht="18.5">
      <c r="A21" s="10" t="s">
        <v>99</v>
      </c>
      <c r="B21" s="10" t="s">
        <v>20</v>
      </c>
      <c r="C21" s="6">
        <v>11.33</v>
      </c>
      <c r="D21" s="6">
        <v>16.989999999999998</v>
      </c>
      <c r="E21" s="6">
        <f t="shared" si="1"/>
        <v>5.6599999999999984</v>
      </c>
      <c r="F21" s="11">
        <f t="shared" si="2"/>
        <v>0.49955869373345085</v>
      </c>
      <c r="G21" s="6">
        <v>0</v>
      </c>
      <c r="H21" s="6">
        <v>0</v>
      </c>
      <c r="I21" s="10" t="s">
        <v>28</v>
      </c>
      <c r="J21" s="12">
        <f t="shared" si="3"/>
        <v>0.19964695498676069</v>
      </c>
      <c r="K21" s="6">
        <f t="shared" si="0"/>
        <v>2.2619999999999987</v>
      </c>
      <c r="L21" s="2" t="s">
        <v>96</v>
      </c>
    </row>
    <row r="22" spans="1:12" ht="18.5">
      <c r="A22" s="13" t="s">
        <v>14</v>
      </c>
      <c r="B22" s="13" t="s">
        <v>21</v>
      </c>
      <c r="C22" s="7">
        <v>4.47</v>
      </c>
      <c r="D22" s="7">
        <v>6.99</v>
      </c>
      <c r="E22" s="7">
        <f>D22-C22</f>
        <v>2.5200000000000005</v>
      </c>
      <c r="F22" s="14">
        <f>E22/C22</f>
        <v>0.56375838926174515</v>
      </c>
      <c r="G22" s="7">
        <v>0</v>
      </c>
      <c r="H22" s="7">
        <v>0</v>
      </c>
      <c r="I22" s="13" t="s">
        <v>31</v>
      </c>
      <c r="J22" s="15">
        <f t="shared" ref="J22:J63" si="4">((D22*(1-20%))-C22)/C22</f>
        <v>0.25100671140939618</v>
      </c>
      <c r="K22" s="7">
        <f t="shared" si="0"/>
        <v>1.1220000000000008</v>
      </c>
      <c r="L22" t="s">
        <v>15</v>
      </c>
    </row>
    <row r="23" spans="1:12" ht="18.5">
      <c r="A23" s="13" t="s">
        <v>16</v>
      </c>
      <c r="B23" s="13" t="s">
        <v>21</v>
      </c>
      <c r="C23" s="16">
        <v>8.6</v>
      </c>
      <c r="D23" s="7">
        <v>14.99</v>
      </c>
      <c r="E23" s="7">
        <f>D23-C23</f>
        <v>6.3900000000000006</v>
      </c>
      <c r="F23" s="14">
        <f>E23/C23</f>
        <v>0.74302325581395356</v>
      </c>
      <c r="G23" s="7">
        <v>0</v>
      </c>
      <c r="H23" s="7">
        <v>0</v>
      </c>
      <c r="I23" s="13" t="s">
        <v>28</v>
      </c>
      <c r="J23" s="15">
        <f t="shared" si="4"/>
        <v>0.39441860465116296</v>
      </c>
      <c r="K23" s="7">
        <f t="shared" si="0"/>
        <v>3.3920000000000012</v>
      </c>
      <c r="L23" s="2" t="s">
        <v>17</v>
      </c>
    </row>
    <row r="24" spans="1:12" ht="18.5">
      <c r="A24" s="13" t="s">
        <v>48</v>
      </c>
      <c r="B24" s="13" t="s">
        <v>21</v>
      </c>
      <c r="C24" s="7">
        <v>19.78</v>
      </c>
      <c r="D24" s="7">
        <v>26.99</v>
      </c>
      <c r="E24" s="7">
        <f>D24-C24</f>
        <v>7.2099999999999973</v>
      </c>
      <c r="F24" s="14">
        <f>E24/C24</f>
        <v>0.36450960566228496</v>
      </c>
      <c r="G24" s="7">
        <v>0</v>
      </c>
      <c r="H24" s="7">
        <v>0</v>
      </c>
      <c r="I24" s="13" t="s">
        <v>28</v>
      </c>
      <c r="J24" s="15">
        <f t="shared" si="4"/>
        <v>9.1607684529827982E-2</v>
      </c>
      <c r="K24" s="7">
        <f t="shared" si="0"/>
        <v>1.8119999999999976</v>
      </c>
      <c r="L24" s="2" t="s">
        <v>47</v>
      </c>
    </row>
    <row r="25" spans="1:12" ht="18.5">
      <c r="A25" s="13" t="s">
        <v>49</v>
      </c>
      <c r="B25" s="13" t="s">
        <v>21</v>
      </c>
      <c r="C25" s="7">
        <v>19.78</v>
      </c>
      <c r="D25" s="7">
        <v>26.99</v>
      </c>
      <c r="E25" s="7">
        <f t="shared" ref="E25:E34" si="5">D25-C25</f>
        <v>7.2099999999999973</v>
      </c>
      <c r="F25" s="14">
        <f t="shared" ref="F25:F34" si="6">E25/C25</f>
        <v>0.36450960566228496</v>
      </c>
      <c r="G25" s="7">
        <v>0</v>
      </c>
      <c r="H25" s="7">
        <v>0</v>
      </c>
      <c r="I25" s="13" t="s">
        <v>28</v>
      </c>
      <c r="J25" s="15">
        <f t="shared" si="4"/>
        <v>9.1607684529827982E-2</v>
      </c>
      <c r="K25" s="7">
        <f t="shared" si="0"/>
        <v>1.8119999999999976</v>
      </c>
      <c r="L25" s="2" t="s">
        <v>47</v>
      </c>
    </row>
    <row r="26" spans="1:12" ht="18.5">
      <c r="A26" s="13" t="s">
        <v>50</v>
      </c>
      <c r="B26" s="13" t="s">
        <v>21</v>
      </c>
      <c r="C26" s="7">
        <v>19.78</v>
      </c>
      <c r="D26" s="7">
        <v>26.99</v>
      </c>
      <c r="E26" s="7">
        <f t="shared" si="5"/>
        <v>7.2099999999999973</v>
      </c>
      <c r="F26" s="14">
        <f t="shared" si="6"/>
        <v>0.36450960566228496</v>
      </c>
      <c r="G26" s="7">
        <v>0</v>
      </c>
      <c r="H26" s="7">
        <v>0</v>
      </c>
      <c r="I26" s="13" t="s">
        <v>28</v>
      </c>
      <c r="J26" s="15">
        <f t="shared" si="4"/>
        <v>9.1607684529827982E-2</v>
      </c>
      <c r="K26" s="7">
        <f t="shared" si="0"/>
        <v>1.8119999999999976</v>
      </c>
      <c r="L26" s="2" t="s">
        <v>47</v>
      </c>
    </row>
    <row r="27" spans="1:12" ht="18.5">
      <c r="A27" s="13" t="s">
        <v>51</v>
      </c>
      <c r="B27" s="13" t="s">
        <v>21</v>
      </c>
      <c r="C27" s="7">
        <v>19.78</v>
      </c>
      <c r="D27" s="7">
        <v>26.99</v>
      </c>
      <c r="E27" s="7">
        <f t="shared" si="5"/>
        <v>7.2099999999999973</v>
      </c>
      <c r="F27" s="14">
        <f t="shared" si="6"/>
        <v>0.36450960566228496</v>
      </c>
      <c r="G27" s="7">
        <v>0</v>
      </c>
      <c r="H27" s="7">
        <v>0</v>
      </c>
      <c r="I27" s="13" t="s">
        <v>28</v>
      </c>
      <c r="J27" s="15">
        <f t="shared" si="4"/>
        <v>9.1607684529827982E-2</v>
      </c>
      <c r="K27" s="7">
        <f t="shared" si="0"/>
        <v>1.8119999999999976</v>
      </c>
      <c r="L27" s="2" t="s">
        <v>47</v>
      </c>
    </row>
    <row r="28" spans="1:12" ht="18.5">
      <c r="A28" s="13" t="s">
        <v>52</v>
      </c>
      <c r="B28" s="13" t="s">
        <v>21</v>
      </c>
      <c r="C28" s="7">
        <v>19.78</v>
      </c>
      <c r="D28" s="7">
        <v>26.99</v>
      </c>
      <c r="E28" s="7">
        <f t="shared" si="5"/>
        <v>7.2099999999999973</v>
      </c>
      <c r="F28" s="14">
        <f t="shared" si="6"/>
        <v>0.36450960566228496</v>
      </c>
      <c r="G28" s="7">
        <v>0</v>
      </c>
      <c r="H28" s="7">
        <v>0</v>
      </c>
      <c r="I28" s="13" t="s">
        <v>28</v>
      </c>
      <c r="J28" s="15">
        <f t="shared" si="4"/>
        <v>9.1607684529827982E-2</v>
      </c>
      <c r="K28" s="7">
        <f t="shared" si="0"/>
        <v>1.8119999999999976</v>
      </c>
      <c r="L28" s="2" t="s">
        <v>47</v>
      </c>
    </row>
    <row r="29" spans="1:12" ht="18.5">
      <c r="A29" s="13" t="s">
        <v>56</v>
      </c>
      <c r="B29" s="13" t="s">
        <v>21</v>
      </c>
      <c r="C29" s="16">
        <v>7.12</v>
      </c>
      <c r="D29" s="7">
        <v>8.99</v>
      </c>
      <c r="E29" s="7">
        <f t="shared" si="5"/>
        <v>1.87</v>
      </c>
      <c r="F29" s="14">
        <f t="shared" si="6"/>
        <v>0.26264044943820225</v>
      </c>
      <c r="G29" s="7">
        <v>0</v>
      </c>
      <c r="H29" s="7">
        <v>0</v>
      </c>
      <c r="I29" s="13" t="s">
        <v>28</v>
      </c>
      <c r="J29" s="15">
        <f t="shared" si="4"/>
        <v>1.0112359550561806E-2</v>
      </c>
      <c r="K29" s="7">
        <f t="shared" si="0"/>
        <v>7.2000000000000064E-2</v>
      </c>
      <c r="L29" s="2" t="s">
        <v>47</v>
      </c>
    </row>
    <row r="30" spans="1:12" ht="18.5">
      <c r="A30" s="13" t="s">
        <v>57</v>
      </c>
      <c r="B30" s="13" t="s">
        <v>21</v>
      </c>
      <c r="C30" s="16">
        <v>7.01</v>
      </c>
      <c r="D30" s="7">
        <v>8.99</v>
      </c>
      <c r="E30" s="7">
        <f t="shared" si="5"/>
        <v>1.9800000000000004</v>
      </c>
      <c r="F30" s="14">
        <f t="shared" si="6"/>
        <v>0.28245363766048509</v>
      </c>
      <c r="G30" s="7">
        <v>0</v>
      </c>
      <c r="H30" s="7">
        <v>0</v>
      </c>
      <c r="I30" s="13" t="s">
        <v>28</v>
      </c>
      <c r="J30" s="15">
        <f t="shared" si="4"/>
        <v>2.5962910128388073E-2</v>
      </c>
      <c r="K30" s="7">
        <f t="shared" si="0"/>
        <v>0.18200000000000038</v>
      </c>
      <c r="L30" s="2" t="s">
        <v>47</v>
      </c>
    </row>
    <row r="31" spans="1:12" ht="18.5">
      <c r="A31" s="13" t="s">
        <v>58</v>
      </c>
      <c r="B31" s="13" t="s">
        <v>21</v>
      </c>
      <c r="C31" s="16">
        <v>7.72</v>
      </c>
      <c r="D31" s="7">
        <v>8.99</v>
      </c>
      <c r="E31" s="7">
        <f t="shared" si="5"/>
        <v>1.2700000000000005</v>
      </c>
      <c r="F31" s="14">
        <f t="shared" si="6"/>
        <v>0.16450777202072545</v>
      </c>
      <c r="G31" s="7">
        <v>0</v>
      </c>
      <c r="H31" s="7">
        <v>0</v>
      </c>
      <c r="I31" s="13" t="s">
        <v>28</v>
      </c>
      <c r="J31" s="15">
        <f t="shared" si="4"/>
        <v>-6.8393782383419643E-2</v>
      </c>
      <c r="K31" s="7">
        <f t="shared" si="0"/>
        <v>-0.52799999999999958</v>
      </c>
      <c r="L31" s="2" t="s">
        <v>47</v>
      </c>
    </row>
    <row r="32" spans="1:12" ht="18.5">
      <c r="A32" s="13" t="s">
        <v>59</v>
      </c>
      <c r="B32" s="13" t="s">
        <v>21</v>
      </c>
      <c r="C32" s="16">
        <v>58.86</v>
      </c>
      <c r="D32" s="7">
        <v>74.989999999999995</v>
      </c>
      <c r="E32" s="7">
        <f t="shared" si="5"/>
        <v>16.129999999999995</v>
      </c>
      <c r="F32" s="14">
        <f t="shared" si="6"/>
        <v>0.27404009514101252</v>
      </c>
      <c r="G32" s="7">
        <v>0</v>
      </c>
      <c r="H32" s="7">
        <v>0</v>
      </c>
      <c r="I32" s="13" t="s">
        <v>28</v>
      </c>
      <c r="J32" s="15">
        <f t="shared" si="4"/>
        <v>1.9232076112810022E-2</v>
      </c>
      <c r="K32" s="7">
        <f t="shared" si="0"/>
        <v>1.1319999999999979</v>
      </c>
      <c r="L32" s="2" t="s">
        <v>61</v>
      </c>
    </row>
    <row r="33" spans="1:12" ht="18.5">
      <c r="A33" s="13" t="s">
        <v>60</v>
      </c>
      <c r="B33" s="13" t="s">
        <v>21</v>
      </c>
      <c r="C33" s="16">
        <v>59.3</v>
      </c>
      <c r="D33" s="7">
        <v>74.989999999999995</v>
      </c>
      <c r="E33" s="7">
        <f t="shared" si="5"/>
        <v>15.689999999999998</v>
      </c>
      <c r="F33" s="14">
        <f t="shared" si="6"/>
        <v>0.26458684654300169</v>
      </c>
      <c r="G33" s="7">
        <v>0</v>
      </c>
      <c r="H33" s="7">
        <v>0</v>
      </c>
      <c r="I33" s="13" t="s">
        <v>28</v>
      </c>
      <c r="J33" s="15">
        <f t="shared" si="4"/>
        <v>1.1669477234401352E-2</v>
      </c>
      <c r="K33" s="7">
        <f t="shared" si="0"/>
        <v>0.69200000000000017</v>
      </c>
      <c r="L33" s="2" t="s">
        <v>61</v>
      </c>
    </row>
    <row r="34" spans="1:12" ht="18.5">
      <c r="A34" s="13" t="s">
        <v>74</v>
      </c>
      <c r="B34" s="13" t="s">
        <v>21</v>
      </c>
      <c r="C34" s="16">
        <v>20.59</v>
      </c>
      <c r="D34" s="7">
        <v>28.99</v>
      </c>
      <c r="E34" s="7">
        <f t="shared" si="5"/>
        <v>8.3999999999999986</v>
      </c>
      <c r="F34" s="14">
        <f t="shared" si="6"/>
        <v>0.4079650315687226</v>
      </c>
      <c r="G34" s="7">
        <v>0</v>
      </c>
      <c r="H34" s="7">
        <v>0</v>
      </c>
      <c r="I34" s="13" t="s">
        <v>28</v>
      </c>
      <c r="J34" s="15">
        <f t="shared" si="4"/>
        <v>0.12637202525497815</v>
      </c>
      <c r="K34" s="7">
        <f t="shared" si="0"/>
        <v>2.6020000000000003</v>
      </c>
      <c r="L34" s="2" t="s">
        <v>75</v>
      </c>
    </row>
    <row r="35" spans="1:12" ht="18.5">
      <c r="A35" s="13" t="s">
        <v>18</v>
      </c>
      <c r="B35" s="13" t="s">
        <v>21</v>
      </c>
      <c r="C35" s="7">
        <v>13.39</v>
      </c>
      <c r="D35" s="7">
        <v>19.989999999999998</v>
      </c>
      <c r="E35" s="7">
        <f>D35-C35</f>
        <v>6.5999999999999979</v>
      </c>
      <c r="F35" s="14">
        <f>E35/C35</f>
        <v>0.4929051530993277</v>
      </c>
      <c r="G35" s="7">
        <v>0</v>
      </c>
      <c r="H35" s="7">
        <v>0</v>
      </c>
      <c r="I35" s="13" t="s">
        <v>28</v>
      </c>
      <c r="J35" s="15">
        <f t="shared" si="4"/>
        <v>0.19432412247946218</v>
      </c>
      <c r="K35" s="7">
        <f t="shared" si="0"/>
        <v>2.6019999999999985</v>
      </c>
      <c r="L35" t="s">
        <v>19</v>
      </c>
    </row>
    <row r="36" spans="1:12" ht="35" customHeight="1">
      <c r="A36" s="17" t="s">
        <v>34</v>
      </c>
      <c r="B36" s="18" t="s">
        <v>22</v>
      </c>
      <c r="C36" s="8">
        <v>9.92</v>
      </c>
      <c r="D36" s="8">
        <v>17.989999999999998</v>
      </c>
      <c r="E36" s="8">
        <f t="shared" ref="E36:E37" si="7">D36-C36</f>
        <v>8.0699999999999985</v>
      </c>
      <c r="F36" s="19">
        <f>E36/C36</f>
        <v>0.81350806451612889</v>
      </c>
      <c r="G36" s="8">
        <v>0</v>
      </c>
      <c r="H36" s="8">
        <v>0</v>
      </c>
      <c r="I36" s="18" t="s">
        <v>28</v>
      </c>
      <c r="J36" s="20">
        <f t="shared" si="4"/>
        <v>0.45080645161290317</v>
      </c>
      <c r="K36" s="8">
        <f t="shared" si="0"/>
        <v>4.4719999999999995</v>
      </c>
      <c r="L36" s="2" t="s">
        <v>37</v>
      </c>
    </row>
    <row r="37" spans="1:12" ht="35" customHeight="1">
      <c r="A37" s="17" t="s">
        <v>35</v>
      </c>
      <c r="B37" s="18" t="s">
        <v>22</v>
      </c>
      <c r="C37" s="8">
        <v>9.92</v>
      </c>
      <c r="D37" s="8">
        <v>17.989999999999998</v>
      </c>
      <c r="E37" s="8">
        <f t="shared" si="7"/>
        <v>8.0699999999999985</v>
      </c>
      <c r="F37" s="19">
        <f>E37/C37</f>
        <v>0.81350806451612889</v>
      </c>
      <c r="G37" s="8">
        <v>0</v>
      </c>
      <c r="H37" s="8">
        <v>0</v>
      </c>
      <c r="I37" s="18" t="s">
        <v>28</v>
      </c>
      <c r="J37" s="20">
        <f t="shared" si="4"/>
        <v>0.45080645161290317</v>
      </c>
      <c r="K37" s="8">
        <f t="shared" si="0"/>
        <v>4.4719999999999995</v>
      </c>
      <c r="L37" s="2" t="s">
        <v>37</v>
      </c>
    </row>
    <row r="38" spans="1:12" ht="18.5">
      <c r="A38" s="17" t="s">
        <v>33</v>
      </c>
      <c r="B38" s="18" t="s">
        <v>22</v>
      </c>
      <c r="C38" s="8">
        <v>8.8800000000000008</v>
      </c>
      <c r="D38" s="8">
        <v>18.989999999999998</v>
      </c>
      <c r="E38" s="8">
        <f>D38-C38</f>
        <v>10.109999999999998</v>
      </c>
      <c r="F38" s="19">
        <f>E38/C38</f>
        <v>1.1385135135135132</v>
      </c>
      <c r="G38" s="8">
        <v>0</v>
      </c>
      <c r="H38" s="8">
        <v>0</v>
      </c>
      <c r="I38" s="18" t="s">
        <v>28</v>
      </c>
      <c r="J38" s="20">
        <f t="shared" si="4"/>
        <v>0.71081081081081066</v>
      </c>
      <c r="K38" s="8">
        <f t="shared" si="0"/>
        <v>6.3119999999999994</v>
      </c>
      <c r="L38" s="2" t="s">
        <v>23</v>
      </c>
    </row>
    <row r="39" spans="1:12" ht="18.5">
      <c r="A39" s="17" t="s">
        <v>32</v>
      </c>
      <c r="B39" s="18" t="s">
        <v>22</v>
      </c>
      <c r="C39" s="8">
        <v>10.5</v>
      </c>
      <c r="D39" s="8">
        <v>18.989999999999998</v>
      </c>
      <c r="E39" s="8">
        <f>D39-C39</f>
        <v>8.4899999999999984</v>
      </c>
      <c r="F39" s="19">
        <f>E39/C39</f>
        <v>0.80857142857142839</v>
      </c>
      <c r="G39" s="8">
        <v>0</v>
      </c>
      <c r="H39" s="8">
        <v>0</v>
      </c>
      <c r="I39" s="18" t="s">
        <v>28</v>
      </c>
      <c r="J39" s="20">
        <f>((D39*(1-20%))-C39)/C39</f>
        <v>0.4468571428571429</v>
      </c>
      <c r="K39" s="8">
        <f t="shared" si="0"/>
        <v>4.6920000000000002</v>
      </c>
      <c r="L39" t="s">
        <v>23</v>
      </c>
    </row>
    <row r="40" spans="1:12" ht="18.5">
      <c r="A40" s="17" t="s">
        <v>38</v>
      </c>
      <c r="B40" s="18" t="s">
        <v>22</v>
      </c>
      <c r="C40" s="8">
        <v>8.57</v>
      </c>
      <c r="D40" s="8">
        <v>13.99</v>
      </c>
      <c r="E40" s="8">
        <f>D40-C40</f>
        <v>5.42</v>
      </c>
      <c r="F40" s="19">
        <f>E40/C40</f>
        <v>0.63243873978996501</v>
      </c>
      <c r="G40" s="8">
        <v>0</v>
      </c>
      <c r="H40" s="8">
        <v>0</v>
      </c>
      <c r="I40" s="18" t="s">
        <v>30</v>
      </c>
      <c r="J40" s="20">
        <f>((D40*(1-20%))-C40)/C40</f>
        <v>0.305950991831972</v>
      </c>
      <c r="K40" s="8">
        <f t="shared" si="0"/>
        <v>2.6219999999999999</v>
      </c>
      <c r="L40" s="2" t="s">
        <v>46</v>
      </c>
    </row>
    <row r="41" spans="1:12" ht="18.5">
      <c r="A41" s="17" t="s">
        <v>39</v>
      </c>
      <c r="B41" s="18" t="s">
        <v>22</v>
      </c>
      <c r="C41" s="8">
        <v>8.6300000000000008</v>
      </c>
      <c r="D41" s="8">
        <v>13.99</v>
      </c>
      <c r="E41" s="8">
        <f t="shared" ref="E41:E46" si="8">D41-C41</f>
        <v>5.3599999999999994</v>
      </c>
      <c r="F41" s="19">
        <f t="shared" ref="F41:F46" si="9">E41/C41</f>
        <v>0.6210892236384703</v>
      </c>
      <c r="G41" s="8">
        <v>0</v>
      </c>
      <c r="H41" s="8">
        <v>0</v>
      </c>
      <c r="I41" s="18" t="s">
        <v>30</v>
      </c>
      <c r="J41" s="20">
        <f t="shared" ref="J41:J46" si="10">((D41*(1-20%))-C41)/C41</f>
        <v>0.29687137891077625</v>
      </c>
      <c r="K41" s="8">
        <f t="shared" si="0"/>
        <v>2.5619999999999994</v>
      </c>
      <c r="L41" s="2" t="s">
        <v>46</v>
      </c>
    </row>
    <row r="42" spans="1:12" ht="18.5">
      <c r="A42" s="17" t="s">
        <v>40</v>
      </c>
      <c r="B42" s="18" t="s">
        <v>22</v>
      </c>
      <c r="C42" s="8">
        <v>7.72</v>
      </c>
      <c r="D42" s="8">
        <v>13.99</v>
      </c>
      <c r="E42" s="8">
        <f t="shared" si="8"/>
        <v>6.2700000000000005</v>
      </c>
      <c r="F42" s="19">
        <f t="shared" si="9"/>
        <v>0.81217616580310892</v>
      </c>
      <c r="G42" s="8">
        <v>0</v>
      </c>
      <c r="H42" s="8">
        <v>0</v>
      </c>
      <c r="I42" s="18" t="s">
        <v>30</v>
      </c>
      <c r="J42" s="20">
        <f t="shared" si="10"/>
        <v>0.4497409326424871</v>
      </c>
      <c r="K42" s="8">
        <f t="shared" si="0"/>
        <v>3.4720000000000004</v>
      </c>
      <c r="L42" s="2" t="s">
        <v>46</v>
      </c>
    </row>
    <row r="43" spans="1:12" ht="18.5">
      <c r="A43" s="17" t="s">
        <v>41</v>
      </c>
      <c r="B43" s="18" t="s">
        <v>22</v>
      </c>
      <c r="C43" s="8" t="s">
        <v>45</v>
      </c>
      <c r="D43" s="8">
        <v>13.99</v>
      </c>
      <c r="E43" s="8" t="e">
        <f t="shared" si="8"/>
        <v>#VALUE!</v>
      </c>
      <c r="F43" s="19" t="e">
        <f t="shared" si="9"/>
        <v>#VALUE!</v>
      </c>
      <c r="G43" s="8">
        <v>0</v>
      </c>
      <c r="H43" s="8">
        <v>0</v>
      </c>
      <c r="I43" s="18" t="s">
        <v>30</v>
      </c>
      <c r="J43" s="20" t="e">
        <f t="shared" si="10"/>
        <v>#VALUE!</v>
      </c>
      <c r="K43" s="8" t="e">
        <f t="shared" si="0"/>
        <v>#VALUE!</v>
      </c>
      <c r="L43" s="2" t="s">
        <v>46</v>
      </c>
    </row>
    <row r="44" spans="1:12" ht="18.5">
      <c r="A44" s="17" t="s">
        <v>42</v>
      </c>
      <c r="B44" s="18" t="s">
        <v>22</v>
      </c>
      <c r="C44" s="8">
        <v>9.69</v>
      </c>
      <c r="D44" s="8">
        <v>13.99</v>
      </c>
      <c r="E44" s="8">
        <f t="shared" si="8"/>
        <v>4.3000000000000007</v>
      </c>
      <c r="F44" s="19">
        <f t="shared" si="9"/>
        <v>0.44375644994840052</v>
      </c>
      <c r="G44" s="8">
        <v>0</v>
      </c>
      <c r="H44" s="8">
        <v>0</v>
      </c>
      <c r="I44" s="18" t="s">
        <v>30</v>
      </c>
      <c r="J44" s="20">
        <f t="shared" si="10"/>
        <v>0.15500515995872041</v>
      </c>
      <c r="K44" s="8">
        <f t="shared" si="0"/>
        <v>1.5020000000000007</v>
      </c>
      <c r="L44" s="2" t="s">
        <v>46</v>
      </c>
    </row>
    <row r="45" spans="1:12" ht="18.5">
      <c r="A45" s="17" t="s">
        <v>43</v>
      </c>
      <c r="B45" s="18" t="s">
        <v>22</v>
      </c>
      <c r="C45" s="8">
        <v>8.39</v>
      </c>
      <c r="D45" s="8">
        <v>13.99</v>
      </c>
      <c r="E45" s="8">
        <f t="shared" si="8"/>
        <v>5.6</v>
      </c>
      <c r="F45" s="19">
        <f t="shared" si="9"/>
        <v>0.66746126340881995</v>
      </c>
      <c r="G45" s="8">
        <v>0</v>
      </c>
      <c r="H45" s="8">
        <v>0</v>
      </c>
      <c r="I45" s="18" t="s">
        <v>30</v>
      </c>
      <c r="J45" s="20">
        <f t="shared" si="10"/>
        <v>0.33396901072705593</v>
      </c>
      <c r="K45" s="8">
        <f t="shared" si="0"/>
        <v>2.8019999999999996</v>
      </c>
      <c r="L45" s="2" t="s">
        <v>46</v>
      </c>
    </row>
    <row r="46" spans="1:12" ht="18.5">
      <c r="A46" s="17" t="s">
        <v>44</v>
      </c>
      <c r="B46" s="18" t="s">
        <v>22</v>
      </c>
      <c r="C46" s="8">
        <v>9.69</v>
      </c>
      <c r="D46" s="8">
        <v>13.99</v>
      </c>
      <c r="E46" s="8">
        <f t="shared" si="8"/>
        <v>4.3000000000000007</v>
      </c>
      <c r="F46" s="19">
        <f t="shared" si="9"/>
        <v>0.44375644994840052</v>
      </c>
      <c r="G46" s="8">
        <v>0</v>
      </c>
      <c r="H46" s="8">
        <v>0</v>
      </c>
      <c r="I46" s="18" t="s">
        <v>30</v>
      </c>
      <c r="J46" s="20">
        <f t="shared" si="10"/>
        <v>0.15500515995872041</v>
      </c>
      <c r="K46" s="8">
        <f t="shared" si="0"/>
        <v>1.5020000000000007</v>
      </c>
      <c r="L46" s="2" t="s">
        <v>46</v>
      </c>
    </row>
    <row r="47" spans="1:12" ht="18.5">
      <c r="A47" s="17" t="s">
        <v>36</v>
      </c>
      <c r="B47" s="18" t="s">
        <v>22</v>
      </c>
      <c r="C47" s="8">
        <v>8.43</v>
      </c>
      <c r="D47" s="8">
        <v>12.99</v>
      </c>
      <c r="E47" s="8">
        <f>D47-C47</f>
        <v>4.5600000000000005</v>
      </c>
      <c r="F47" s="19">
        <f>E47/C47</f>
        <v>0.54092526690391463</v>
      </c>
      <c r="G47" s="8">
        <v>0</v>
      </c>
      <c r="H47" s="8">
        <v>0</v>
      </c>
      <c r="I47" s="18" t="s">
        <v>28</v>
      </c>
      <c r="J47" s="20">
        <f t="shared" si="4"/>
        <v>0.23274021352313187</v>
      </c>
      <c r="K47" s="8">
        <f t="shared" si="0"/>
        <v>1.9620000000000015</v>
      </c>
      <c r="L47" s="2" t="s">
        <v>23</v>
      </c>
    </row>
    <row r="48" spans="1:12" ht="19" customHeight="1">
      <c r="A48" s="17" t="s">
        <v>104</v>
      </c>
      <c r="B48" s="18" t="s">
        <v>22</v>
      </c>
      <c r="C48" s="8">
        <v>15.25</v>
      </c>
      <c r="D48" s="8">
        <v>24.99</v>
      </c>
      <c r="E48" s="8">
        <f>D48-C48</f>
        <v>9.7399999999999984</v>
      </c>
      <c r="F48" s="19">
        <f>E48/C48</f>
        <v>0.63868852459016379</v>
      </c>
      <c r="G48" s="8">
        <v>0</v>
      </c>
      <c r="H48" s="8">
        <v>0</v>
      </c>
      <c r="I48" s="18" t="s">
        <v>28</v>
      </c>
      <c r="J48" s="20">
        <f t="shared" si="4"/>
        <v>0.31095081967213123</v>
      </c>
      <c r="K48" s="8">
        <f t="shared" si="0"/>
        <v>4.7420000000000009</v>
      </c>
      <c r="L48" s="2" t="s">
        <v>107</v>
      </c>
    </row>
    <row r="49" spans="1:12" ht="18.5">
      <c r="A49" s="17" t="s">
        <v>105</v>
      </c>
      <c r="B49" s="18" t="s">
        <v>22</v>
      </c>
      <c r="C49" s="8">
        <v>15.25</v>
      </c>
      <c r="D49" s="8">
        <v>24.99</v>
      </c>
      <c r="E49" s="8">
        <f>D49-C49</f>
        <v>9.7399999999999984</v>
      </c>
      <c r="F49" s="19">
        <f>E49/C49</f>
        <v>0.63868852459016379</v>
      </c>
      <c r="G49" s="8">
        <v>0</v>
      </c>
      <c r="H49" s="8">
        <v>0</v>
      </c>
      <c r="I49" s="18" t="s">
        <v>28</v>
      </c>
      <c r="J49" s="20">
        <f t="shared" si="4"/>
        <v>0.31095081967213123</v>
      </c>
      <c r="K49" s="8">
        <f t="shared" si="0"/>
        <v>4.7420000000000009</v>
      </c>
      <c r="L49" s="2" t="s">
        <v>107</v>
      </c>
    </row>
    <row r="50" spans="1:12" ht="18.5">
      <c r="A50" s="17" t="s">
        <v>106</v>
      </c>
      <c r="B50" s="18" t="s">
        <v>22</v>
      </c>
      <c r="C50" s="8">
        <v>15.25</v>
      </c>
      <c r="D50" s="8">
        <v>24.99</v>
      </c>
      <c r="E50" s="8">
        <f>D50-C50</f>
        <v>9.7399999999999984</v>
      </c>
      <c r="F50" s="19">
        <f>E50/C50</f>
        <v>0.63868852459016379</v>
      </c>
      <c r="G50" s="8">
        <v>0</v>
      </c>
      <c r="H50" s="8">
        <v>0</v>
      </c>
      <c r="I50" s="18" t="s">
        <v>28</v>
      </c>
      <c r="J50" s="20">
        <f t="shared" si="4"/>
        <v>0.31095081967213123</v>
      </c>
      <c r="K50" s="8">
        <f t="shared" si="0"/>
        <v>4.7420000000000009</v>
      </c>
      <c r="L50" s="2" t="s">
        <v>107</v>
      </c>
    </row>
    <row r="51" spans="1:12" ht="18.5">
      <c r="A51" s="21" t="s">
        <v>24</v>
      </c>
      <c r="B51" s="21" t="s">
        <v>29</v>
      </c>
      <c r="C51" s="9">
        <v>6.41</v>
      </c>
      <c r="D51" s="9">
        <v>11.99</v>
      </c>
      <c r="E51" s="9">
        <f>D51-C51</f>
        <v>5.58</v>
      </c>
      <c r="F51" s="22">
        <f>E51/C51</f>
        <v>0.8705148205928237</v>
      </c>
      <c r="G51" s="9">
        <v>0</v>
      </c>
      <c r="H51" s="9">
        <v>0</v>
      </c>
      <c r="I51" s="21" t="s">
        <v>30</v>
      </c>
      <c r="J51" s="23">
        <f t="shared" si="4"/>
        <v>0.49641185647425901</v>
      </c>
      <c r="K51" s="9">
        <f t="shared" si="0"/>
        <v>3.1820000000000004</v>
      </c>
      <c r="L51" s="2" t="s">
        <v>25</v>
      </c>
    </row>
    <row r="52" spans="1:12" ht="18.5">
      <c r="A52" s="21" t="s">
        <v>79</v>
      </c>
      <c r="B52" s="21" t="s">
        <v>29</v>
      </c>
      <c r="C52" s="9">
        <v>15.38</v>
      </c>
      <c r="D52" s="9">
        <v>28.99</v>
      </c>
      <c r="E52" s="9">
        <f>D52-C52</f>
        <v>13.609999999999998</v>
      </c>
      <c r="F52" s="22">
        <f>E52/C52</f>
        <v>0.88491547464239251</v>
      </c>
      <c r="G52" s="9">
        <v>0</v>
      </c>
      <c r="H52" s="9">
        <v>0</v>
      </c>
      <c r="I52" s="21" t="s">
        <v>28</v>
      </c>
      <c r="J52" s="23">
        <f t="shared" si="4"/>
        <v>0.50793237971391414</v>
      </c>
      <c r="K52" s="9">
        <f t="shared" si="0"/>
        <v>7.8119999999999994</v>
      </c>
      <c r="L52" s="2" t="s">
        <v>26</v>
      </c>
    </row>
    <row r="53" spans="1:12" ht="18.5">
      <c r="A53" s="21" t="s">
        <v>76</v>
      </c>
      <c r="B53" s="21" t="s">
        <v>29</v>
      </c>
      <c r="C53" s="9">
        <v>4.7</v>
      </c>
      <c r="D53" s="9">
        <v>8.99</v>
      </c>
      <c r="E53" s="9">
        <f>D53-C53</f>
        <v>4.29</v>
      </c>
      <c r="F53" s="22">
        <f>E53/C53</f>
        <v>0.91276595744680844</v>
      </c>
      <c r="G53" s="9">
        <v>0</v>
      </c>
      <c r="H53" s="9">
        <v>0</v>
      </c>
      <c r="I53" s="21" t="s">
        <v>77</v>
      </c>
      <c r="J53" s="23">
        <f t="shared" si="4"/>
        <v>0.53021276595744682</v>
      </c>
      <c r="K53" s="9">
        <f t="shared" si="0"/>
        <v>2.492</v>
      </c>
      <c r="L53" t="s">
        <v>78</v>
      </c>
    </row>
    <row r="54" spans="1:12" ht="18.5">
      <c r="A54" s="21" t="s">
        <v>81</v>
      </c>
      <c r="B54" s="21" t="s">
        <v>29</v>
      </c>
      <c r="C54" s="9">
        <v>10.11</v>
      </c>
      <c r="D54" s="9">
        <v>19.989999999999998</v>
      </c>
      <c r="E54" s="9">
        <f>D54-C54</f>
        <v>9.879999999999999</v>
      </c>
      <c r="F54" s="22">
        <f>E54/C54</f>
        <v>0.97725024727992083</v>
      </c>
      <c r="G54" s="9">
        <v>0</v>
      </c>
      <c r="H54" s="9">
        <v>0</v>
      </c>
      <c r="I54" s="21" t="s">
        <v>28</v>
      </c>
      <c r="J54" s="23">
        <f t="shared" si="4"/>
        <v>0.58180019782393666</v>
      </c>
      <c r="K54" s="9">
        <f t="shared" si="0"/>
        <v>5.8819999999999997</v>
      </c>
      <c r="L54" s="2" t="s">
        <v>80</v>
      </c>
    </row>
    <row r="55" spans="1:12" ht="18.5">
      <c r="A55" s="21" t="s">
        <v>82</v>
      </c>
      <c r="B55" s="21" t="s">
        <v>29</v>
      </c>
      <c r="C55" s="9">
        <v>10.11</v>
      </c>
      <c r="D55" s="9">
        <v>19.989999999999998</v>
      </c>
      <c r="E55" s="9">
        <f>D55-C55</f>
        <v>9.879999999999999</v>
      </c>
      <c r="F55" s="22">
        <f>E55/C55</f>
        <v>0.97725024727992083</v>
      </c>
      <c r="G55" s="9">
        <v>0</v>
      </c>
      <c r="H55" s="9">
        <v>0</v>
      </c>
      <c r="I55" s="21" t="s">
        <v>28</v>
      </c>
      <c r="J55" s="23">
        <f t="shared" si="4"/>
        <v>0.58180019782393666</v>
      </c>
      <c r="K55" s="9">
        <f t="shared" si="0"/>
        <v>5.8819999999999997</v>
      </c>
      <c r="L55" s="2" t="s">
        <v>80</v>
      </c>
    </row>
    <row r="56" spans="1:12" ht="18.5">
      <c r="A56" s="21" t="s">
        <v>83</v>
      </c>
      <c r="B56" s="21" t="s">
        <v>29</v>
      </c>
      <c r="C56" s="9">
        <v>14.97</v>
      </c>
      <c r="D56" s="9">
        <v>21.99</v>
      </c>
      <c r="E56" s="9">
        <f>D56-C56</f>
        <v>7.0199999999999978</v>
      </c>
      <c r="F56" s="22">
        <f>E56/C56</f>
        <v>0.46893787575150286</v>
      </c>
      <c r="G56" s="9">
        <v>0</v>
      </c>
      <c r="H56" s="9">
        <v>0</v>
      </c>
      <c r="I56" s="21" t="s">
        <v>28</v>
      </c>
      <c r="J56" s="23">
        <f t="shared" si="4"/>
        <v>0.17515030060120226</v>
      </c>
      <c r="K56" s="9">
        <f t="shared" si="0"/>
        <v>2.6219999999999981</v>
      </c>
      <c r="L56" s="2" t="s">
        <v>85</v>
      </c>
    </row>
    <row r="57" spans="1:12" ht="18.5">
      <c r="A57" s="21" t="s">
        <v>84</v>
      </c>
      <c r="B57" s="21" t="s">
        <v>29</v>
      </c>
      <c r="C57" s="9">
        <v>14.79</v>
      </c>
      <c r="D57" s="9">
        <v>21.99</v>
      </c>
      <c r="E57" s="9">
        <f>D57-C57</f>
        <v>7.1999999999999993</v>
      </c>
      <c r="F57" s="22">
        <f>E57/C57</f>
        <v>0.48681541582150101</v>
      </c>
      <c r="G57" s="9">
        <v>0</v>
      </c>
      <c r="H57" s="9">
        <v>0</v>
      </c>
      <c r="I57" s="21" t="s">
        <v>28</v>
      </c>
      <c r="J57" s="23">
        <f t="shared" si="4"/>
        <v>0.18945233265720079</v>
      </c>
      <c r="K57" s="9">
        <f t="shared" si="0"/>
        <v>2.8019999999999996</v>
      </c>
      <c r="L57" s="2" t="s">
        <v>85</v>
      </c>
    </row>
    <row r="58" spans="1:12" ht="18.5">
      <c r="A58" s="21" t="s">
        <v>86</v>
      </c>
      <c r="B58" s="21" t="s">
        <v>29</v>
      </c>
      <c r="C58" s="9">
        <v>8.42</v>
      </c>
      <c r="D58" s="9">
        <v>17.989999999999998</v>
      </c>
      <c r="E58" s="9">
        <f>D58-C58</f>
        <v>9.5699999999999985</v>
      </c>
      <c r="F58" s="22">
        <f>E58/C58</f>
        <v>1.1365795724465557</v>
      </c>
      <c r="G58" s="9">
        <v>0</v>
      </c>
      <c r="H58" s="9">
        <v>0</v>
      </c>
      <c r="I58" s="21" t="s">
        <v>28</v>
      </c>
      <c r="J58" s="23">
        <f t="shared" si="4"/>
        <v>0.70926365795724455</v>
      </c>
      <c r="K58" s="9">
        <f t="shared" si="0"/>
        <v>5.9719999999999995</v>
      </c>
      <c r="L58" t="s">
        <v>87</v>
      </c>
    </row>
    <row r="59" spans="1:12" ht="18.5">
      <c r="A59" s="21" t="s">
        <v>88</v>
      </c>
      <c r="B59" s="21" t="s">
        <v>29</v>
      </c>
      <c r="C59" s="9">
        <v>47.12</v>
      </c>
      <c r="D59" s="9">
        <v>59.99</v>
      </c>
      <c r="E59" s="9">
        <f>D59-C59</f>
        <v>12.870000000000005</v>
      </c>
      <c r="F59" s="22">
        <f>E59/C59</f>
        <v>0.27313242784380315</v>
      </c>
      <c r="G59" s="9">
        <v>0</v>
      </c>
      <c r="H59" s="9">
        <v>0</v>
      </c>
      <c r="I59" s="21" t="s">
        <v>28</v>
      </c>
      <c r="J59" s="23">
        <f t="shared" si="4"/>
        <v>1.8505942275042594E-2</v>
      </c>
      <c r="K59" s="9">
        <f t="shared" si="0"/>
        <v>0.87200000000000699</v>
      </c>
      <c r="L59" t="s">
        <v>89</v>
      </c>
    </row>
    <row r="60" spans="1:12" ht="18.5">
      <c r="A60" s="21" t="s">
        <v>92</v>
      </c>
      <c r="B60" s="21" t="s">
        <v>29</v>
      </c>
      <c r="C60" s="9">
        <v>7.08</v>
      </c>
      <c r="D60" s="9">
        <v>11.99</v>
      </c>
      <c r="E60" s="9">
        <f>D60-C60</f>
        <v>4.91</v>
      </c>
      <c r="F60" s="22">
        <f>E60/C60</f>
        <v>0.69350282485875703</v>
      </c>
      <c r="G60" s="9">
        <v>0</v>
      </c>
      <c r="H60" s="9">
        <v>0</v>
      </c>
      <c r="I60" s="21" t="s">
        <v>30</v>
      </c>
      <c r="J60" s="23">
        <f t="shared" si="4"/>
        <v>0.3548022598870057</v>
      </c>
      <c r="K60" s="9">
        <f t="shared" si="0"/>
        <v>2.5120000000000005</v>
      </c>
      <c r="L60" s="2" t="s">
        <v>93</v>
      </c>
    </row>
    <row r="61" spans="1:12" ht="18.5">
      <c r="A61" s="21" t="s">
        <v>91</v>
      </c>
      <c r="B61" s="21" t="s">
        <v>29</v>
      </c>
      <c r="C61" s="9">
        <v>7.79</v>
      </c>
      <c r="D61" s="9">
        <v>11.99</v>
      </c>
      <c r="E61" s="9">
        <f t="shared" ref="E61:E63" si="11">D61-C61</f>
        <v>4.2</v>
      </c>
      <c r="F61" s="22">
        <f t="shared" ref="F61:F63" si="12">E61/C61</f>
        <v>0.53915275994865219</v>
      </c>
      <c r="G61" s="9">
        <v>0</v>
      </c>
      <c r="H61" s="9">
        <v>0</v>
      </c>
      <c r="I61" s="21" t="s">
        <v>30</v>
      </c>
      <c r="J61" s="23">
        <f t="shared" si="4"/>
        <v>0.23132220795892175</v>
      </c>
      <c r="K61" s="9">
        <f t="shared" si="0"/>
        <v>1.8020000000000005</v>
      </c>
      <c r="L61" s="2" t="s">
        <v>93</v>
      </c>
    </row>
    <row r="62" spans="1:12" ht="18.5">
      <c r="A62" s="21" t="s">
        <v>90</v>
      </c>
      <c r="B62" s="21" t="s">
        <v>29</v>
      </c>
      <c r="C62" s="9">
        <v>7.15</v>
      </c>
      <c r="D62" s="9">
        <v>11.99</v>
      </c>
      <c r="E62" s="9">
        <f t="shared" si="11"/>
        <v>4.84</v>
      </c>
      <c r="F62" s="22">
        <f t="shared" si="12"/>
        <v>0.67692307692307685</v>
      </c>
      <c r="G62" s="9">
        <v>0</v>
      </c>
      <c r="H62" s="9">
        <v>0</v>
      </c>
      <c r="I62" s="21" t="s">
        <v>30</v>
      </c>
      <c r="J62" s="23">
        <f t="shared" si="4"/>
        <v>0.34153846153846157</v>
      </c>
      <c r="K62" s="9">
        <f t="shared" si="0"/>
        <v>2.4420000000000002</v>
      </c>
      <c r="L62" s="2" t="s">
        <v>93</v>
      </c>
    </row>
    <row r="63" spans="1:12" ht="18.5">
      <c r="A63" s="21" t="s">
        <v>94</v>
      </c>
      <c r="B63" s="21" t="s">
        <v>29</v>
      </c>
      <c r="C63" s="9">
        <v>23.09</v>
      </c>
      <c r="D63" s="9">
        <v>29.99</v>
      </c>
      <c r="E63" s="9">
        <f t="shared" si="11"/>
        <v>6.8999999999999986</v>
      </c>
      <c r="F63" s="22">
        <f t="shared" si="12"/>
        <v>0.29883066262451274</v>
      </c>
      <c r="G63" s="9">
        <v>0</v>
      </c>
      <c r="H63" s="9">
        <v>0</v>
      </c>
      <c r="I63" s="21" t="s">
        <v>28</v>
      </c>
      <c r="J63" s="23">
        <f t="shared" si="4"/>
        <v>3.9064530099610265E-2</v>
      </c>
      <c r="K63" s="9">
        <f t="shared" si="0"/>
        <v>0.90200000000000102</v>
      </c>
      <c r="L63" t="s">
        <v>95</v>
      </c>
    </row>
  </sheetData>
  <phoneticPr fontId="4" type="noConversion"/>
  <hyperlinks>
    <hyperlink ref="L4" r:id="rId1" xr:uid="{AD4DC3C7-E325-4718-9069-5841E4FE4F6D}"/>
    <hyperlink ref="L23" r:id="rId2" xr:uid="{71792E4A-6B00-4AD2-AF5A-B562DE72A5E0}"/>
    <hyperlink ref="L3" r:id="rId3" xr:uid="{081D6E48-59E5-4B12-9BF3-36C57EE9106D}"/>
    <hyperlink ref="L47" r:id="rId4" xr:uid="{0B081F1D-506C-4E0F-92B0-5C2C9318F4BD}"/>
    <hyperlink ref="L51" r:id="rId5" xr:uid="{3EFAF6EC-2C5B-4EEF-AAB4-A6D07948405F}"/>
    <hyperlink ref="L36" r:id="rId6" xr:uid="{7908E425-7A33-4CA6-8DD3-FD82DE2D5731}"/>
    <hyperlink ref="L37" r:id="rId7" xr:uid="{BCC3AD50-02E8-4BFE-A7C4-9C3836098525}"/>
    <hyperlink ref="L38" r:id="rId8" xr:uid="{8B4E2515-51C5-4EE5-9F37-CEF75A5DFF83}"/>
    <hyperlink ref="L40" r:id="rId9" xr:uid="{D0355E1C-BA6A-4ACE-BDCD-DF06F622F800}"/>
    <hyperlink ref="L41:L46" r:id="rId10" display="https://cjdropshipping.com/product/luminous-starry-sky-and-planets-moon-moon-crystal-ball-small-night-lamp-projection-ambience-light-creative-gift-new-strange-gift-p-1555129918592397312.html" xr:uid="{54868A11-C582-4BFE-8EF0-A0647F641C1A}"/>
    <hyperlink ref="L52" r:id="rId11" xr:uid="{3A793E3D-0F2D-43CE-AF42-9FE2868E3023}"/>
    <hyperlink ref="L24" r:id="rId12" xr:uid="{90DC5483-BF39-463C-8C08-E05A787763DD}"/>
    <hyperlink ref="L32" r:id="rId13" xr:uid="{2B49F9B4-B6A7-4FA9-A58D-F3188F27BBE4}"/>
    <hyperlink ref="L33" r:id="rId14" xr:uid="{B2549680-9F64-4A50-94BA-35C12E0DA6D9}"/>
    <hyperlink ref="L54" r:id="rId15" xr:uid="{C3F60FF1-8BFF-4CB3-B902-B2671743598F}"/>
    <hyperlink ref="L55" r:id="rId16" xr:uid="{060DC26E-CA4B-4869-B179-98B9F0516B95}"/>
    <hyperlink ref="L56" r:id="rId17" xr:uid="{03C31C9D-D197-4F17-A7EA-820838E4AEC1}"/>
    <hyperlink ref="L57" r:id="rId18" xr:uid="{608FD075-FB75-4EC9-8DF9-E10E7F614846}"/>
    <hyperlink ref="L62" r:id="rId19" xr:uid="{C2AC3BC2-7598-41B3-9B80-59004F0FC501}"/>
    <hyperlink ref="L60:L61" r:id="rId20" display="https://cjdropshipping.com/product/jade-scraping-tablets-jade-scraping-massager-p-1359775414209351680.html" xr:uid="{BDC595CE-9102-47E8-8F8C-E0E20E64661C}"/>
  </hyperlinks>
  <pageMargins left="0.7" right="0.7" top="0.78740157499999996" bottom="0.78740157499999996" header="0.3" footer="0.3"/>
  <pageSetup paperSize="9" orientation="portrait" r:id="rId2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4EAECE2E0FC0043B062C6D8924B493B" ma:contentTypeVersion="9" ma:contentTypeDescription="Ein neues Dokument erstellen." ma:contentTypeScope="" ma:versionID="1349692ac8a8b93d49b8f9f3040f85a2">
  <xsd:schema xmlns:xsd="http://www.w3.org/2001/XMLSchema" xmlns:xs="http://www.w3.org/2001/XMLSchema" xmlns:p="http://schemas.microsoft.com/office/2006/metadata/properties" xmlns:ns3="6a826985-7f97-4306-a2e8-1c2429cfa118" targetNamespace="http://schemas.microsoft.com/office/2006/metadata/properties" ma:root="true" ma:fieldsID="ba096d8d4924c67cae8d6bfe70ec33fb" ns3:_="">
    <xsd:import namespace="6a826985-7f97-4306-a2e8-1c2429cfa11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26985-7f97-4306-a2e8-1c2429cfa11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826985-7f97-4306-a2e8-1c2429cfa118" xsi:nil="true"/>
  </documentManagement>
</p:properties>
</file>

<file path=customXml/itemProps1.xml><?xml version="1.0" encoding="utf-8"?>
<ds:datastoreItem xmlns:ds="http://schemas.openxmlformats.org/officeDocument/2006/customXml" ds:itemID="{0F421401-2D98-44B4-9A71-18B5C3F526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826985-7f97-4306-a2e8-1c2429cfa1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396263-B46B-412E-9EAF-36526572B3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FD632B-49A5-4CCF-8AAD-F25B65E2B218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6a826985-7f97-4306-a2e8-1c2429cfa118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Nevio Michelhans</dc:creator>
  <cp:lastModifiedBy>Nevio Michelhans</cp:lastModifiedBy>
  <dcterms:created xsi:type="dcterms:W3CDTF">2025-11-09T15:15:15Z</dcterms:created>
  <dcterms:modified xsi:type="dcterms:W3CDTF">2025-11-09T18:54:25Z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0x01010054EAECE2E0FC0043B062C6D8924B493B</vt:lpwstr>
  </property>
</Properties>
</file>